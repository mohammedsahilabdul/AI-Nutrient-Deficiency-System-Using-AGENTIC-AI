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90" windowHeight="7155" firstSheet="1" activeTab="2"/>
  </bookViews>
  <sheets>
    <sheet name="Participant characteristics" sheetId="1" r:id="rId1"/>
    <sheet name="Excluded participants" sheetId="2" r:id="rId2"/>
    <sheet name="Clinican Assessment " sheetId="4" r:id="rId3"/>
    <sheet name="Clinician consistency" sheetId="5" r:id="rId4"/>
    <sheet name="Clinican example images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4" l="1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</calcChain>
</file>

<file path=xl/sharedStrings.xml><?xml version="1.0" encoding="utf-8"?>
<sst xmlns="http://schemas.openxmlformats.org/spreadsheetml/2006/main" count="728" uniqueCount="153">
  <si>
    <t>002B</t>
  </si>
  <si>
    <t>003C</t>
  </si>
  <si>
    <t>004D</t>
  </si>
  <si>
    <t>005E</t>
  </si>
  <si>
    <t>006F</t>
  </si>
  <si>
    <t>008H</t>
  </si>
  <si>
    <t>011K</t>
  </si>
  <si>
    <t>012L</t>
  </si>
  <si>
    <t>014N</t>
  </si>
  <si>
    <t>015O</t>
  </si>
  <si>
    <t>016P</t>
  </si>
  <si>
    <t>017Q</t>
  </si>
  <si>
    <t>018R</t>
  </si>
  <si>
    <t>019S</t>
  </si>
  <si>
    <t>020T</t>
  </si>
  <si>
    <t>021U</t>
  </si>
  <si>
    <t>022V</t>
  </si>
  <si>
    <t>023W</t>
  </si>
  <si>
    <t>024X</t>
  </si>
  <si>
    <t>025Y</t>
  </si>
  <si>
    <t>026Z</t>
  </si>
  <si>
    <t>027A</t>
  </si>
  <si>
    <t>028B</t>
  </si>
  <si>
    <t>029C</t>
  </si>
  <si>
    <t>030D</t>
  </si>
  <si>
    <t>031E</t>
  </si>
  <si>
    <t>032F</t>
  </si>
  <si>
    <t>033G</t>
  </si>
  <si>
    <t>034H</t>
  </si>
  <si>
    <t>035I</t>
  </si>
  <si>
    <t>036J</t>
  </si>
  <si>
    <t>037K</t>
  </si>
  <si>
    <t>038L</t>
  </si>
  <si>
    <t>039M</t>
  </si>
  <si>
    <t>040N</t>
  </si>
  <si>
    <t>041O</t>
  </si>
  <si>
    <t>042P</t>
  </si>
  <si>
    <t>043Q</t>
  </si>
  <si>
    <t>044R</t>
  </si>
  <si>
    <t>046T</t>
  </si>
  <si>
    <t>047U</t>
  </si>
  <si>
    <t>048V</t>
  </si>
  <si>
    <t>049W</t>
  </si>
  <si>
    <t>050X</t>
  </si>
  <si>
    <t>051Y</t>
  </si>
  <si>
    <t>052Z</t>
  </si>
  <si>
    <t>054B</t>
  </si>
  <si>
    <t>055C</t>
  </si>
  <si>
    <t>056D</t>
  </si>
  <si>
    <t>057E</t>
  </si>
  <si>
    <t>058F</t>
  </si>
  <si>
    <t>059G</t>
  </si>
  <si>
    <t>060H</t>
  </si>
  <si>
    <t>061I</t>
  </si>
  <si>
    <t>062J</t>
  </si>
  <si>
    <t>063K</t>
  </si>
  <si>
    <t>064L</t>
  </si>
  <si>
    <t>065M</t>
  </si>
  <si>
    <t>066N</t>
  </si>
  <si>
    <t>067O</t>
  </si>
  <si>
    <t>068P</t>
  </si>
  <si>
    <t>069Q</t>
  </si>
  <si>
    <t>070R</t>
  </si>
  <si>
    <t>071S</t>
  </si>
  <si>
    <t>072T</t>
  </si>
  <si>
    <t>073U</t>
  </si>
  <si>
    <t>076X</t>
  </si>
  <si>
    <t>077Y</t>
  </si>
  <si>
    <t>078Z</t>
  </si>
  <si>
    <t>080B</t>
  </si>
  <si>
    <t>081C</t>
  </si>
  <si>
    <t>082D</t>
  </si>
  <si>
    <t>084F</t>
  </si>
  <si>
    <t>085G</t>
  </si>
  <si>
    <t>086H</t>
  </si>
  <si>
    <t>087I</t>
  </si>
  <si>
    <t>088J</t>
  </si>
  <si>
    <t>089K</t>
  </si>
  <si>
    <t>090L</t>
  </si>
  <si>
    <t>091M</t>
  </si>
  <si>
    <t>092N</t>
  </si>
  <si>
    <t>093O</t>
  </si>
  <si>
    <t>094P</t>
  </si>
  <si>
    <t>095Q</t>
  </si>
  <si>
    <t>096R</t>
  </si>
  <si>
    <t>099U</t>
  </si>
  <si>
    <t>100V</t>
  </si>
  <si>
    <t>101W</t>
  </si>
  <si>
    <t>102X</t>
  </si>
  <si>
    <t>103Y</t>
  </si>
  <si>
    <t>104Z</t>
  </si>
  <si>
    <t>105A</t>
  </si>
  <si>
    <t>106B</t>
  </si>
  <si>
    <t>107C</t>
  </si>
  <si>
    <t>Reason for exclusion</t>
  </si>
  <si>
    <t xml:space="preserve">001A </t>
  </si>
  <si>
    <t>007G</t>
  </si>
  <si>
    <t>009I</t>
  </si>
  <si>
    <t>010J</t>
  </si>
  <si>
    <t>013M</t>
  </si>
  <si>
    <t>045S</t>
  </si>
  <si>
    <t>053A</t>
  </si>
  <si>
    <t>074V</t>
  </si>
  <si>
    <t>075W</t>
  </si>
  <si>
    <t>079A</t>
  </si>
  <si>
    <t>083E</t>
  </si>
  <si>
    <t>097S</t>
  </si>
  <si>
    <t>098T</t>
  </si>
  <si>
    <t>Haemoglobin results unavailable</t>
  </si>
  <si>
    <t>Haemoglobin</t>
  </si>
  <si>
    <t>Palpebral conjunctival EI (LX5)</t>
  </si>
  <si>
    <t>Forniceal conjunctival EI (LX5)</t>
  </si>
  <si>
    <t>Duplicated/example?</t>
  </si>
  <si>
    <t>Clinican 1</t>
  </si>
  <si>
    <t>Clinican 2</t>
  </si>
  <si>
    <t xml:space="preserve">Clinican 3 </t>
  </si>
  <si>
    <t>Duplicated</t>
  </si>
  <si>
    <t>No</t>
  </si>
  <si>
    <t>Yes</t>
  </si>
  <si>
    <t>Duplicated (Image 1)</t>
  </si>
  <si>
    <t>Example</t>
  </si>
  <si>
    <t>Duplicated (Image 16)</t>
  </si>
  <si>
    <t>Duplicated (Image 27)</t>
  </si>
  <si>
    <t>Duplicated (Image 45)</t>
  </si>
  <si>
    <t>Duplicated (Image 34)</t>
  </si>
  <si>
    <t>Duplicated (Image 53)</t>
  </si>
  <si>
    <t>Duplicated (Image 60)</t>
  </si>
  <si>
    <t>Duplicated (Image 64)</t>
  </si>
  <si>
    <t>Duplicated (Image 76)</t>
  </si>
  <si>
    <t>Duplicated (Image 50)</t>
  </si>
  <si>
    <t>Clinican 3</t>
  </si>
  <si>
    <t>Palpebral conjunctival EI (Iphone)</t>
  </si>
  <si>
    <t>Study number</t>
  </si>
  <si>
    <t>Study Number</t>
  </si>
  <si>
    <t>Image number</t>
  </si>
  <si>
    <t>Palpebral Conjunctiva EI (LX5)</t>
  </si>
  <si>
    <t>Where yes indicates suspicion of anaemia and no indicates no suspicion</t>
  </si>
  <si>
    <t>Key</t>
  </si>
  <si>
    <t>Duplicated (Image 14)</t>
  </si>
  <si>
    <t>Duplicated (Image 33)</t>
  </si>
  <si>
    <t>Duplicated (Image 40)</t>
  </si>
  <si>
    <t>Duplicated (Image 72)</t>
  </si>
  <si>
    <t>Duplicated (Image 69)</t>
  </si>
  <si>
    <t>Duplicated (Image 100)</t>
  </si>
  <si>
    <t>Duplicated (Image 79)</t>
  </si>
  <si>
    <t>Duplicated (Image 81)</t>
  </si>
  <si>
    <t>Duplicated (Image 83)</t>
  </si>
  <si>
    <t>Duplicated (Image 94)</t>
  </si>
  <si>
    <t>Current use of topical ophthalmic medication</t>
  </si>
  <si>
    <t>Low quality photographs: Inadequate conjunctiva exposed</t>
  </si>
  <si>
    <t xml:space="preserve">Low quality photographs: Uneven lighting </t>
  </si>
  <si>
    <t xml:space="preserve">Photography repeated: see 013M </t>
  </si>
  <si>
    <t>Duplicated entries are italicised and shaded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</si>
</sst>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" fillId="0" borderId="1" xfId="0" applyFont="1" applyBorder="1"/>
    <xf numFmtId="0" fontId="1" fillId="0" borderId="3" xfId="0" applyFont="1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  <col min="2" max="2" width="12.85546875" bestFit="1" customWidth="1"/>
    <col min="3" max="3" width="28" bestFit="1" customWidth="1"/>
    <col min="4" max="4" width="27.7109375" bestFit="1" customWidth="1"/>
    <col min="5" max="5" width="39.140625" bestFit="1" customWidth="1"/>
  </cols>
  <sheetData>
    <row r="1" spans="1:5" x14ac:dyDescent="0.25">
      <c r="A1" s="15" t="s">
        <v>133</v>
      </c>
      <c r="B1" s="15" t="s">
        <v>109</v>
      </c>
      <c r="C1" s="15" t="s">
        <v>110</v>
      </c>
      <c r="D1" s="15" t="s">
        <v>111</v>
      </c>
      <c r="E1" s="15" t="s">
        <v>131</v>
      </c>
    </row>
    <row r="2" spans="1:5" x14ac:dyDescent="0.25">
      <c r="A2" s="1" t="s">
        <v>0</v>
      </c>
      <c r="B2" s="1">
        <v>121</v>
      </c>
      <c r="C2" s="1">
        <v>26.033000000000001</v>
      </c>
      <c r="D2" s="1">
        <v>19.113</v>
      </c>
      <c r="E2" s="1">
        <v>53.613</v>
      </c>
    </row>
    <row r="3" spans="1:5" x14ac:dyDescent="0.25">
      <c r="A3" s="1" t="s">
        <v>1</v>
      </c>
      <c r="B3" s="1">
        <v>131</v>
      </c>
      <c r="C3" s="1">
        <v>20.077000000000002</v>
      </c>
      <c r="D3" s="1">
        <v>11.016</v>
      </c>
      <c r="E3" s="1">
        <v>32.271000000000001</v>
      </c>
    </row>
    <row r="4" spans="1:5" x14ac:dyDescent="0.25">
      <c r="A4" s="1" t="s">
        <v>2</v>
      </c>
      <c r="B4" s="1">
        <v>134</v>
      </c>
      <c r="C4" s="1">
        <v>15.672000000000001</v>
      </c>
      <c r="D4" s="1">
        <v>13.426</v>
      </c>
      <c r="E4" s="1">
        <v>26.876999999999999</v>
      </c>
    </row>
    <row r="5" spans="1:5" x14ac:dyDescent="0.25">
      <c r="A5" s="1" t="s">
        <v>3</v>
      </c>
      <c r="B5" s="1">
        <v>84</v>
      </c>
      <c r="C5" s="1">
        <v>19.757000000000001</v>
      </c>
      <c r="D5" s="1">
        <v>15.757</v>
      </c>
      <c r="E5" s="1">
        <v>20.315000000000001</v>
      </c>
    </row>
    <row r="6" spans="1:5" x14ac:dyDescent="0.25">
      <c r="A6" s="1" t="s">
        <v>4</v>
      </c>
      <c r="B6" s="1">
        <v>110</v>
      </c>
      <c r="C6" s="1">
        <v>17.512</v>
      </c>
      <c r="D6" s="1">
        <v>13.397</v>
      </c>
      <c r="E6" s="1">
        <v>36.587000000000003</v>
      </c>
    </row>
    <row r="7" spans="1:5" x14ac:dyDescent="0.25">
      <c r="A7" s="1" t="s">
        <v>5</v>
      </c>
      <c r="B7" s="1">
        <v>123</v>
      </c>
      <c r="C7" s="1">
        <v>20.423999999999999</v>
      </c>
      <c r="D7" s="1">
        <v>13.653</v>
      </c>
      <c r="E7" s="1">
        <v>51.704000000000001</v>
      </c>
    </row>
    <row r="8" spans="1:5" x14ac:dyDescent="0.25">
      <c r="A8" s="1" t="s">
        <v>6</v>
      </c>
      <c r="B8" s="1">
        <v>99</v>
      </c>
      <c r="C8" s="1">
        <v>16.308</v>
      </c>
      <c r="D8" s="1">
        <v>11.853</v>
      </c>
      <c r="E8" s="1">
        <v>38.670999999999999</v>
      </c>
    </row>
    <row r="9" spans="1:5" x14ac:dyDescent="0.25">
      <c r="A9" s="1" t="s">
        <v>7</v>
      </c>
      <c r="B9" s="1">
        <v>79</v>
      </c>
      <c r="C9" s="1">
        <v>12.478999999999999</v>
      </c>
      <c r="D9" s="1">
        <v>8.4320000000000004</v>
      </c>
      <c r="E9" s="1">
        <v>28.818999999999999</v>
      </c>
    </row>
    <row r="10" spans="1:5" x14ac:dyDescent="0.25">
      <c r="A10" s="1" t="s">
        <v>8</v>
      </c>
      <c r="B10" s="1">
        <v>82</v>
      </c>
      <c r="C10" s="1">
        <v>18.129000000000001</v>
      </c>
      <c r="D10" s="1">
        <v>12.141</v>
      </c>
      <c r="E10" s="1">
        <v>26.8</v>
      </c>
    </row>
    <row r="11" spans="1:5" x14ac:dyDescent="0.25">
      <c r="A11" s="1" t="s">
        <v>9</v>
      </c>
      <c r="B11" s="1">
        <v>122</v>
      </c>
      <c r="C11" s="1">
        <v>13.688000000000001</v>
      </c>
      <c r="D11" s="1">
        <v>13.839</v>
      </c>
      <c r="E11" s="1">
        <v>26.6</v>
      </c>
    </row>
    <row r="12" spans="1:5" x14ac:dyDescent="0.25">
      <c r="A12" s="1" t="s">
        <v>10</v>
      </c>
      <c r="B12" s="1">
        <v>107</v>
      </c>
      <c r="C12" s="1">
        <v>20.689</v>
      </c>
      <c r="D12" s="1">
        <v>12.818</v>
      </c>
      <c r="E12" s="1">
        <v>28.571999999999999</v>
      </c>
    </row>
    <row r="13" spans="1:5" x14ac:dyDescent="0.25">
      <c r="A13" s="1" t="s">
        <v>11</v>
      </c>
      <c r="B13" s="1">
        <v>93</v>
      </c>
      <c r="C13" s="1">
        <v>20.423999999999999</v>
      </c>
      <c r="D13" s="1">
        <v>18.006</v>
      </c>
      <c r="E13" s="1">
        <v>28.01</v>
      </c>
    </row>
    <row r="14" spans="1:5" x14ac:dyDescent="0.25">
      <c r="A14" s="1" t="s">
        <v>12</v>
      </c>
      <c r="B14" s="1">
        <v>161</v>
      </c>
      <c r="C14" s="1">
        <v>18.053999999999998</v>
      </c>
      <c r="D14" s="1">
        <v>13.606</v>
      </c>
      <c r="E14" s="1">
        <v>32.841999999999999</v>
      </c>
    </row>
    <row r="15" spans="1:5" x14ac:dyDescent="0.25">
      <c r="A15" s="1" t="s">
        <v>13</v>
      </c>
      <c r="B15" s="1">
        <v>141</v>
      </c>
      <c r="C15" s="1">
        <v>20.731000000000002</v>
      </c>
      <c r="D15" s="1">
        <v>11.005000000000001</v>
      </c>
      <c r="E15" s="1">
        <v>36.789000000000001</v>
      </c>
    </row>
    <row r="16" spans="1:5" x14ac:dyDescent="0.25">
      <c r="A16" s="1" t="s">
        <v>14</v>
      </c>
      <c r="B16" s="1">
        <v>114</v>
      </c>
      <c r="C16" s="1">
        <v>22.448</v>
      </c>
      <c r="D16" s="1">
        <v>16.510000000000002</v>
      </c>
      <c r="E16" s="1">
        <v>38.472000000000001</v>
      </c>
    </row>
    <row r="17" spans="1:5" x14ac:dyDescent="0.25">
      <c r="A17" s="1" t="s">
        <v>15</v>
      </c>
      <c r="B17" s="1">
        <v>119</v>
      </c>
      <c r="C17" s="1">
        <v>19.689</v>
      </c>
      <c r="D17" s="1">
        <v>11.717000000000001</v>
      </c>
      <c r="E17" s="1">
        <v>21.581</v>
      </c>
    </row>
    <row r="18" spans="1:5" x14ac:dyDescent="0.25">
      <c r="A18" s="1" t="s">
        <v>16</v>
      </c>
      <c r="B18" s="1">
        <v>96</v>
      </c>
      <c r="C18" s="1">
        <v>17.893999999999998</v>
      </c>
      <c r="D18" s="1">
        <v>15.99</v>
      </c>
      <c r="E18" s="1">
        <v>20.37</v>
      </c>
    </row>
    <row r="19" spans="1:5" x14ac:dyDescent="0.25">
      <c r="A19" s="1" t="s">
        <v>17</v>
      </c>
      <c r="B19" s="1">
        <v>137</v>
      </c>
      <c r="C19" s="1">
        <v>19.693999999999999</v>
      </c>
      <c r="D19" s="1">
        <v>8.9920000000000009</v>
      </c>
      <c r="E19" s="1">
        <v>33.793999999999997</v>
      </c>
    </row>
    <row r="20" spans="1:5" x14ac:dyDescent="0.25">
      <c r="A20" s="1" t="s">
        <v>18</v>
      </c>
      <c r="B20" s="1">
        <v>125</v>
      </c>
      <c r="C20" s="1">
        <v>14.78</v>
      </c>
      <c r="D20" s="1">
        <v>10.472</v>
      </c>
      <c r="E20" s="1">
        <v>21.535</v>
      </c>
    </row>
    <row r="21" spans="1:5" x14ac:dyDescent="0.25">
      <c r="A21" s="1" t="s">
        <v>19</v>
      </c>
      <c r="B21" s="1">
        <v>105</v>
      </c>
      <c r="C21" s="1">
        <v>10.422000000000001</v>
      </c>
      <c r="D21" s="1">
        <v>9.1980000000000004</v>
      </c>
      <c r="E21" s="1">
        <v>18.466999999999999</v>
      </c>
    </row>
    <row r="22" spans="1:5" x14ac:dyDescent="0.25">
      <c r="A22" s="1" t="s">
        <v>20</v>
      </c>
      <c r="B22" s="1">
        <v>121</v>
      </c>
      <c r="C22" s="1">
        <v>20.922999999999998</v>
      </c>
      <c r="D22" s="1">
        <v>16.114000000000001</v>
      </c>
      <c r="E22" s="1">
        <v>36.091999999999999</v>
      </c>
    </row>
    <row r="23" spans="1:5" x14ac:dyDescent="0.25">
      <c r="A23" s="1" t="s">
        <v>21</v>
      </c>
      <c r="B23" s="1">
        <v>158</v>
      </c>
      <c r="C23" s="1">
        <v>18.294</v>
      </c>
      <c r="D23" s="1">
        <v>16.591000000000001</v>
      </c>
      <c r="E23" s="1">
        <v>40.209000000000003</v>
      </c>
    </row>
    <row r="24" spans="1:5" x14ac:dyDescent="0.25">
      <c r="A24" s="1" t="s">
        <v>22</v>
      </c>
      <c r="B24" s="1">
        <v>116</v>
      </c>
      <c r="C24" s="1">
        <v>23.638000000000002</v>
      </c>
      <c r="D24" s="1">
        <v>14.836</v>
      </c>
      <c r="E24" s="1">
        <v>40.51</v>
      </c>
    </row>
    <row r="25" spans="1:5" x14ac:dyDescent="0.25">
      <c r="A25" s="1" t="s">
        <v>23</v>
      </c>
      <c r="B25" s="1">
        <v>127</v>
      </c>
      <c r="C25" s="1">
        <v>22.835999999999999</v>
      </c>
      <c r="D25" s="1">
        <v>15.148999999999999</v>
      </c>
      <c r="E25" s="1">
        <v>45.268999999999998</v>
      </c>
    </row>
    <row r="26" spans="1:5" x14ac:dyDescent="0.25">
      <c r="A26" s="1" t="s">
        <v>24</v>
      </c>
      <c r="B26" s="1">
        <v>141</v>
      </c>
      <c r="C26" s="1">
        <v>21.686</v>
      </c>
      <c r="D26" s="1">
        <v>15.446</v>
      </c>
      <c r="E26" s="1">
        <v>47.500999999999998</v>
      </c>
    </row>
    <row r="27" spans="1:5" x14ac:dyDescent="0.25">
      <c r="A27" s="1" t="s">
        <v>25</v>
      </c>
      <c r="B27" s="1">
        <v>80</v>
      </c>
      <c r="C27" s="1">
        <v>15.318</v>
      </c>
      <c r="D27" s="1">
        <v>11.18</v>
      </c>
      <c r="E27" s="1">
        <v>21.294</v>
      </c>
    </row>
    <row r="28" spans="1:5" x14ac:dyDescent="0.25">
      <c r="A28" s="1" t="s">
        <v>26</v>
      </c>
      <c r="B28" s="1">
        <v>149</v>
      </c>
      <c r="C28" s="1">
        <v>23.577000000000002</v>
      </c>
      <c r="D28" s="1">
        <v>16.283000000000001</v>
      </c>
      <c r="E28" s="1">
        <v>47.052999999999997</v>
      </c>
    </row>
    <row r="29" spans="1:5" x14ac:dyDescent="0.25">
      <c r="A29" s="1" t="s">
        <v>27</v>
      </c>
      <c r="B29" s="1">
        <v>117</v>
      </c>
      <c r="C29" s="1">
        <v>19.827000000000002</v>
      </c>
      <c r="D29" s="1">
        <v>12.288</v>
      </c>
      <c r="E29" s="1">
        <v>37.953000000000003</v>
      </c>
    </row>
    <row r="30" spans="1:5" x14ac:dyDescent="0.25">
      <c r="A30" s="1" t="s">
        <v>28</v>
      </c>
      <c r="B30" s="1">
        <v>107</v>
      </c>
      <c r="C30" s="1">
        <v>16.149000000000001</v>
      </c>
      <c r="D30" s="1">
        <v>12.747999999999999</v>
      </c>
      <c r="E30" s="1">
        <v>19.449000000000002</v>
      </c>
    </row>
    <row r="31" spans="1:5" x14ac:dyDescent="0.25">
      <c r="A31" s="1" t="s">
        <v>29</v>
      </c>
      <c r="B31" s="1">
        <v>126</v>
      </c>
      <c r="C31" s="1">
        <v>12.071999999999999</v>
      </c>
      <c r="D31" s="1">
        <v>10.698</v>
      </c>
      <c r="E31" s="1">
        <v>22.827000000000002</v>
      </c>
    </row>
    <row r="32" spans="1:5" x14ac:dyDescent="0.25">
      <c r="A32" s="1" t="s">
        <v>30</v>
      </c>
      <c r="B32" s="1">
        <v>105</v>
      </c>
      <c r="C32" s="1">
        <v>17.404</v>
      </c>
      <c r="D32" s="1">
        <v>9.952</v>
      </c>
      <c r="E32" s="1">
        <v>17.411999999999999</v>
      </c>
    </row>
    <row r="33" spans="1:5" x14ac:dyDescent="0.25">
      <c r="A33" s="1" t="s">
        <v>31</v>
      </c>
      <c r="B33" s="1">
        <v>131</v>
      </c>
      <c r="C33" s="1">
        <v>24.091000000000001</v>
      </c>
      <c r="D33" s="1">
        <v>11.505000000000001</v>
      </c>
      <c r="E33" s="1">
        <v>42.119</v>
      </c>
    </row>
    <row r="34" spans="1:5" x14ac:dyDescent="0.25">
      <c r="A34" s="1" t="s">
        <v>32</v>
      </c>
      <c r="B34" s="1">
        <v>133</v>
      </c>
      <c r="C34" s="1">
        <v>27.222000000000001</v>
      </c>
      <c r="D34" s="1">
        <v>16.701000000000001</v>
      </c>
      <c r="E34" s="1">
        <v>40.368000000000002</v>
      </c>
    </row>
    <row r="35" spans="1:5" x14ac:dyDescent="0.25">
      <c r="A35" s="1" t="s">
        <v>33</v>
      </c>
      <c r="B35" s="1">
        <v>110</v>
      </c>
      <c r="C35" s="1">
        <v>21.114999999999998</v>
      </c>
      <c r="D35" s="1">
        <v>15.347</v>
      </c>
      <c r="E35" s="1">
        <v>32.771000000000001</v>
      </c>
    </row>
    <row r="36" spans="1:5" x14ac:dyDescent="0.25">
      <c r="A36" s="1" t="s">
        <v>34</v>
      </c>
      <c r="B36" s="1">
        <v>117</v>
      </c>
      <c r="C36" s="1">
        <v>21.786000000000001</v>
      </c>
      <c r="D36" s="1">
        <v>16.888000000000002</v>
      </c>
      <c r="E36" s="1">
        <v>28.786999999999999</v>
      </c>
    </row>
    <row r="37" spans="1:5" x14ac:dyDescent="0.25">
      <c r="A37" s="1" t="s">
        <v>35</v>
      </c>
      <c r="B37" s="1">
        <v>131</v>
      </c>
      <c r="C37" s="1">
        <v>26.558</v>
      </c>
      <c r="D37" s="1">
        <v>13.775</v>
      </c>
      <c r="E37" s="1">
        <v>34.54</v>
      </c>
    </row>
    <row r="38" spans="1:5" x14ac:dyDescent="0.25">
      <c r="A38" s="1" t="s">
        <v>36</v>
      </c>
      <c r="B38" s="1">
        <v>106</v>
      </c>
      <c r="C38" s="1">
        <v>17.901</v>
      </c>
      <c r="D38" s="1">
        <v>17.254000000000001</v>
      </c>
      <c r="E38" s="1">
        <v>24.870999999999999</v>
      </c>
    </row>
    <row r="39" spans="1:5" x14ac:dyDescent="0.25">
      <c r="A39" s="1" t="s">
        <v>37</v>
      </c>
      <c r="B39" s="1">
        <v>86</v>
      </c>
      <c r="C39" s="1">
        <v>15.804</v>
      </c>
      <c r="D39" s="1">
        <v>9.3070000000000004</v>
      </c>
      <c r="E39" s="1">
        <v>19.905999999999999</v>
      </c>
    </row>
    <row r="40" spans="1:5" x14ac:dyDescent="0.25">
      <c r="A40" s="1" t="s">
        <v>38</v>
      </c>
      <c r="B40" s="1">
        <v>151</v>
      </c>
      <c r="C40" s="1">
        <v>21.832999999999998</v>
      </c>
      <c r="D40" s="1">
        <v>12.827</v>
      </c>
      <c r="E40" s="1">
        <v>40.151000000000003</v>
      </c>
    </row>
    <row r="41" spans="1:5" x14ac:dyDescent="0.25">
      <c r="A41" s="1" t="s">
        <v>39</v>
      </c>
      <c r="B41" s="1">
        <v>125</v>
      </c>
      <c r="C41" s="1">
        <v>23.66</v>
      </c>
      <c r="D41" s="1">
        <v>16.603999999999999</v>
      </c>
      <c r="E41" s="1">
        <v>40.957000000000001</v>
      </c>
    </row>
    <row r="42" spans="1:5" x14ac:dyDescent="0.25">
      <c r="A42" s="1" t="s">
        <v>40</v>
      </c>
      <c r="B42" s="1">
        <v>116</v>
      </c>
      <c r="C42" s="1">
        <v>22.337</v>
      </c>
      <c r="D42" s="1">
        <v>12.962999999999999</v>
      </c>
      <c r="E42" s="1">
        <v>30.739000000000001</v>
      </c>
    </row>
    <row r="43" spans="1:5" x14ac:dyDescent="0.25">
      <c r="A43" s="1" t="s">
        <v>41</v>
      </c>
      <c r="B43" s="1">
        <v>130</v>
      </c>
      <c r="C43" s="1">
        <v>19.89</v>
      </c>
      <c r="D43" s="1">
        <v>12.831</v>
      </c>
      <c r="E43" s="1">
        <v>30.54</v>
      </c>
    </row>
    <row r="44" spans="1:5" x14ac:dyDescent="0.25">
      <c r="A44" s="1" t="s">
        <v>42</v>
      </c>
      <c r="B44" s="1">
        <v>143</v>
      </c>
      <c r="C44" s="1">
        <v>24.123000000000001</v>
      </c>
      <c r="D44" s="1">
        <v>16.170000000000002</v>
      </c>
      <c r="E44" s="1">
        <v>47.777000000000001</v>
      </c>
    </row>
    <row r="45" spans="1:5" x14ac:dyDescent="0.25">
      <c r="A45" s="1" t="s">
        <v>43</v>
      </c>
      <c r="B45" s="1">
        <v>91</v>
      </c>
      <c r="C45" s="1">
        <v>12.709</v>
      </c>
      <c r="D45" s="1">
        <v>12.587999999999999</v>
      </c>
      <c r="E45" s="1">
        <v>23.01</v>
      </c>
    </row>
    <row r="46" spans="1:5" x14ac:dyDescent="0.25">
      <c r="A46" s="1" t="s">
        <v>44</v>
      </c>
      <c r="B46" s="1">
        <v>69</v>
      </c>
      <c r="C46" s="1">
        <v>11.776999999999999</v>
      </c>
      <c r="D46" s="1">
        <v>11.382999999999999</v>
      </c>
      <c r="E46" s="1">
        <v>17.367999999999999</v>
      </c>
    </row>
    <row r="47" spans="1:5" x14ac:dyDescent="0.25">
      <c r="A47" s="1" t="s">
        <v>45</v>
      </c>
      <c r="B47" s="1">
        <v>135</v>
      </c>
      <c r="C47" s="1">
        <v>19.091999999999999</v>
      </c>
      <c r="D47" s="1">
        <v>10.358000000000001</v>
      </c>
      <c r="E47" s="1">
        <v>23.649000000000001</v>
      </c>
    </row>
    <row r="48" spans="1:5" x14ac:dyDescent="0.25">
      <c r="A48" s="1" t="s">
        <v>46</v>
      </c>
      <c r="B48" s="1">
        <v>122</v>
      </c>
      <c r="C48" s="1">
        <v>22.35</v>
      </c>
      <c r="D48" s="1">
        <v>13.590999999999999</v>
      </c>
      <c r="E48" s="1">
        <v>36.335999999999999</v>
      </c>
    </row>
    <row r="49" spans="1:5" x14ac:dyDescent="0.25">
      <c r="A49" s="1" t="s">
        <v>47</v>
      </c>
      <c r="B49" s="1">
        <v>107</v>
      </c>
      <c r="C49" s="1">
        <v>18.777999999999999</v>
      </c>
      <c r="D49" s="1">
        <v>19.085999999999999</v>
      </c>
      <c r="E49" s="1">
        <v>37.505000000000003</v>
      </c>
    </row>
    <row r="50" spans="1:5" x14ac:dyDescent="0.25">
      <c r="A50" s="1" t="s">
        <v>48</v>
      </c>
      <c r="B50" s="1">
        <v>137</v>
      </c>
      <c r="C50" s="1">
        <v>21.492000000000001</v>
      </c>
      <c r="D50" s="1">
        <v>14.849</v>
      </c>
      <c r="E50" s="1">
        <v>29.658999999999999</v>
      </c>
    </row>
    <row r="51" spans="1:5" x14ac:dyDescent="0.25">
      <c r="A51" s="1" t="s">
        <v>49</v>
      </c>
      <c r="B51" s="1">
        <v>109</v>
      </c>
      <c r="C51" s="1">
        <v>19.977</v>
      </c>
      <c r="D51" s="1">
        <v>13.456</v>
      </c>
      <c r="E51" s="1">
        <v>31.437000000000001</v>
      </c>
    </row>
    <row r="52" spans="1:5" x14ac:dyDescent="0.25">
      <c r="A52" s="1" t="s">
        <v>50</v>
      </c>
      <c r="B52" s="1">
        <v>115</v>
      </c>
      <c r="C52" s="1">
        <v>19.494</v>
      </c>
      <c r="D52" s="1">
        <v>11.754</v>
      </c>
      <c r="E52" s="1">
        <v>25.936</v>
      </c>
    </row>
    <row r="53" spans="1:5" x14ac:dyDescent="0.25">
      <c r="A53" s="1" t="s">
        <v>51</v>
      </c>
      <c r="B53" s="1">
        <v>146</v>
      </c>
      <c r="C53" s="1">
        <v>22.88</v>
      </c>
      <c r="D53" s="1">
        <v>16.863</v>
      </c>
      <c r="E53" s="1">
        <v>44.863</v>
      </c>
    </row>
    <row r="54" spans="1:5" x14ac:dyDescent="0.25">
      <c r="A54" s="1" t="s">
        <v>52</v>
      </c>
      <c r="B54" s="1">
        <v>91</v>
      </c>
      <c r="C54" s="1">
        <v>14.404</v>
      </c>
      <c r="D54" s="1">
        <v>8.7119999999999997</v>
      </c>
      <c r="E54" s="1">
        <v>25.402000000000001</v>
      </c>
    </row>
    <row r="55" spans="1:5" x14ac:dyDescent="0.25">
      <c r="A55" s="1" t="s">
        <v>53</v>
      </c>
      <c r="B55" s="1">
        <v>125</v>
      </c>
      <c r="C55" s="1">
        <v>18.638999999999999</v>
      </c>
      <c r="D55" s="1">
        <v>13.214</v>
      </c>
      <c r="E55" s="1">
        <v>37.389000000000003</v>
      </c>
    </row>
    <row r="56" spans="1:5" x14ac:dyDescent="0.25">
      <c r="A56" s="1" t="s">
        <v>54</v>
      </c>
      <c r="B56" s="1">
        <v>111</v>
      </c>
      <c r="C56" s="1">
        <v>18.219000000000001</v>
      </c>
      <c r="D56" s="1">
        <v>12.958</v>
      </c>
      <c r="E56" s="1">
        <v>26.646999999999998</v>
      </c>
    </row>
    <row r="57" spans="1:5" x14ac:dyDescent="0.25">
      <c r="A57" s="1" t="s">
        <v>55</v>
      </c>
      <c r="B57" s="1">
        <v>92</v>
      </c>
      <c r="C57" s="1">
        <v>18.332000000000001</v>
      </c>
      <c r="D57" s="1">
        <v>10.137</v>
      </c>
      <c r="E57" s="1">
        <v>31.268999999999998</v>
      </c>
    </row>
    <row r="58" spans="1:5" x14ac:dyDescent="0.25">
      <c r="A58" s="1" t="s">
        <v>56</v>
      </c>
      <c r="B58" s="1">
        <v>127</v>
      </c>
      <c r="C58" s="1">
        <v>18.946000000000002</v>
      </c>
      <c r="D58" s="1">
        <v>13.448</v>
      </c>
      <c r="E58" s="1">
        <v>32.924999999999997</v>
      </c>
    </row>
    <row r="59" spans="1:5" x14ac:dyDescent="0.25">
      <c r="A59" s="1" t="s">
        <v>57</v>
      </c>
      <c r="B59" s="1">
        <v>105</v>
      </c>
      <c r="C59" s="1">
        <v>18.905000000000001</v>
      </c>
      <c r="D59" s="1">
        <v>11.159000000000001</v>
      </c>
      <c r="E59" s="1">
        <v>33.216999999999999</v>
      </c>
    </row>
    <row r="60" spans="1:5" x14ac:dyDescent="0.25">
      <c r="A60" s="1" t="s">
        <v>58</v>
      </c>
      <c r="B60" s="1">
        <v>106</v>
      </c>
      <c r="C60" s="1">
        <v>15.667</v>
      </c>
      <c r="D60" s="1">
        <v>8.7050000000000001</v>
      </c>
      <c r="E60" s="1">
        <v>30.245999999999999</v>
      </c>
    </row>
    <row r="61" spans="1:5" x14ac:dyDescent="0.25">
      <c r="A61" s="1" t="s">
        <v>59</v>
      </c>
      <c r="B61" s="1">
        <v>137</v>
      </c>
      <c r="C61" s="1">
        <v>21.166</v>
      </c>
      <c r="D61" s="1">
        <v>11.683999999999999</v>
      </c>
      <c r="E61" s="1">
        <v>39.914000000000001</v>
      </c>
    </row>
    <row r="62" spans="1:5" x14ac:dyDescent="0.25">
      <c r="A62" s="1" t="s">
        <v>60</v>
      </c>
      <c r="B62" s="1">
        <v>91</v>
      </c>
      <c r="C62" s="1">
        <v>16.427</v>
      </c>
      <c r="D62" s="1">
        <v>10.071999999999999</v>
      </c>
      <c r="E62" s="1">
        <v>30.231000000000002</v>
      </c>
    </row>
    <row r="63" spans="1:5" x14ac:dyDescent="0.25">
      <c r="A63" s="1" t="s">
        <v>61</v>
      </c>
      <c r="B63" s="1">
        <v>95</v>
      </c>
      <c r="C63" s="1">
        <v>17.378</v>
      </c>
      <c r="D63" s="1">
        <v>11.273999999999999</v>
      </c>
      <c r="E63" s="1">
        <v>28.55</v>
      </c>
    </row>
    <row r="64" spans="1:5" x14ac:dyDescent="0.25">
      <c r="A64" s="1" t="s">
        <v>62</v>
      </c>
      <c r="B64" s="1">
        <v>116</v>
      </c>
      <c r="C64" s="1">
        <v>19.917000000000002</v>
      </c>
      <c r="D64" s="1">
        <v>12.356</v>
      </c>
      <c r="E64" s="1">
        <v>42.677</v>
      </c>
    </row>
    <row r="65" spans="1:5" x14ac:dyDescent="0.25">
      <c r="A65" s="1" t="s">
        <v>63</v>
      </c>
      <c r="B65" s="1">
        <v>95</v>
      </c>
      <c r="C65" s="1">
        <v>13.265000000000001</v>
      </c>
      <c r="D65" s="1">
        <v>13.228999999999999</v>
      </c>
      <c r="E65" s="1">
        <v>20.268999999999998</v>
      </c>
    </row>
    <row r="66" spans="1:5" x14ac:dyDescent="0.25">
      <c r="A66" s="1" t="s">
        <v>64</v>
      </c>
      <c r="B66" s="1">
        <v>117</v>
      </c>
      <c r="C66" s="1">
        <v>20.395</v>
      </c>
      <c r="D66" s="1">
        <v>15.954000000000001</v>
      </c>
      <c r="E66" s="1">
        <v>37.497</v>
      </c>
    </row>
    <row r="67" spans="1:5" x14ac:dyDescent="0.25">
      <c r="A67" s="1" t="s">
        <v>65</v>
      </c>
      <c r="B67" s="1">
        <v>76</v>
      </c>
      <c r="C67" s="1">
        <v>20.305</v>
      </c>
      <c r="D67" s="1">
        <v>15.301</v>
      </c>
      <c r="E67" s="1">
        <v>29.875</v>
      </c>
    </row>
    <row r="68" spans="1:5" x14ac:dyDescent="0.25">
      <c r="A68" s="1" t="s">
        <v>66</v>
      </c>
      <c r="B68" s="1">
        <v>110</v>
      </c>
      <c r="C68" s="1">
        <v>19.861000000000001</v>
      </c>
      <c r="D68" s="1">
        <v>11.592000000000001</v>
      </c>
      <c r="E68" s="1">
        <v>28.204999999999998</v>
      </c>
    </row>
    <row r="69" spans="1:5" x14ac:dyDescent="0.25">
      <c r="A69" s="1" t="s">
        <v>67</v>
      </c>
      <c r="B69" s="1">
        <v>138</v>
      </c>
      <c r="C69" s="1">
        <v>14.356999999999999</v>
      </c>
      <c r="D69" s="1">
        <v>9.2349999999999994</v>
      </c>
      <c r="E69" s="1">
        <v>22.754999999999999</v>
      </c>
    </row>
    <row r="70" spans="1:5" x14ac:dyDescent="0.25">
      <c r="A70" s="1" t="s">
        <v>68</v>
      </c>
      <c r="B70" s="1">
        <v>119</v>
      </c>
      <c r="C70" s="1">
        <v>18.16</v>
      </c>
      <c r="D70" s="1">
        <v>11.891999999999999</v>
      </c>
      <c r="E70" s="1">
        <v>22.698</v>
      </c>
    </row>
    <row r="71" spans="1:5" x14ac:dyDescent="0.25">
      <c r="A71" s="1" t="s">
        <v>69</v>
      </c>
      <c r="B71" s="1">
        <v>104</v>
      </c>
      <c r="C71" s="1">
        <v>21.373000000000001</v>
      </c>
      <c r="D71" s="1">
        <v>13.276</v>
      </c>
      <c r="E71" s="1">
        <v>38.637</v>
      </c>
    </row>
    <row r="72" spans="1:5" x14ac:dyDescent="0.25">
      <c r="A72" s="1" t="s">
        <v>70</v>
      </c>
      <c r="B72" s="1">
        <v>132</v>
      </c>
      <c r="C72" s="1">
        <v>21.689</v>
      </c>
      <c r="D72" s="1">
        <v>12.435</v>
      </c>
      <c r="E72" s="1">
        <v>39.290999999999997</v>
      </c>
    </row>
    <row r="73" spans="1:5" x14ac:dyDescent="0.25">
      <c r="A73" s="1" t="s">
        <v>71</v>
      </c>
      <c r="B73" s="1">
        <v>97</v>
      </c>
      <c r="C73" s="1">
        <v>17.724</v>
      </c>
      <c r="D73" s="1">
        <v>15.94</v>
      </c>
      <c r="E73" s="1">
        <v>22.155999999999999</v>
      </c>
    </row>
    <row r="74" spans="1:5" x14ac:dyDescent="0.25">
      <c r="A74" s="1" t="s">
        <v>72</v>
      </c>
      <c r="B74" s="1">
        <v>70</v>
      </c>
      <c r="C74" s="1">
        <v>12.367000000000001</v>
      </c>
      <c r="D74" s="1">
        <v>10.397</v>
      </c>
      <c r="E74" s="1">
        <v>12.441000000000001</v>
      </c>
    </row>
    <row r="75" spans="1:5" x14ac:dyDescent="0.25">
      <c r="A75" s="1" t="s">
        <v>73</v>
      </c>
      <c r="B75" s="1">
        <v>94</v>
      </c>
      <c r="C75" s="1">
        <v>11.363</v>
      </c>
      <c r="D75" s="1">
        <v>11.019</v>
      </c>
      <c r="E75" s="1">
        <v>13.473000000000001</v>
      </c>
    </row>
    <row r="76" spans="1:5" x14ac:dyDescent="0.25">
      <c r="A76" s="1" t="s">
        <v>74</v>
      </c>
      <c r="B76" s="1">
        <v>115</v>
      </c>
      <c r="C76" s="1">
        <v>20.687999999999999</v>
      </c>
      <c r="D76" s="1">
        <v>14.766999999999999</v>
      </c>
      <c r="E76" s="1">
        <v>27.289000000000001</v>
      </c>
    </row>
    <row r="77" spans="1:5" x14ac:dyDescent="0.25">
      <c r="A77" s="1" t="s">
        <v>75</v>
      </c>
      <c r="B77" s="1">
        <v>110</v>
      </c>
      <c r="C77" s="1">
        <v>21.777999999999999</v>
      </c>
      <c r="D77" s="1">
        <v>15.262</v>
      </c>
      <c r="E77" s="1">
        <v>30.468</v>
      </c>
    </row>
    <row r="78" spans="1:5" x14ac:dyDescent="0.25">
      <c r="A78" s="1" t="s">
        <v>76</v>
      </c>
      <c r="B78" s="1">
        <v>132</v>
      </c>
      <c r="C78" s="1">
        <v>24.143000000000001</v>
      </c>
      <c r="D78" s="1">
        <v>14.475</v>
      </c>
      <c r="E78" s="1">
        <v>40.536999999999999</v>
      </c>
    </row>
    <row r="79" spans="1:5" x14ac:dyDescent="0.25">
      <c r="A79" s="1" t="s">
        <v>77</v>
      </c>
      <c r="B79" s="1">
        <v>122</v>
      </c>
      <c r="C79" s="1">
        <v>20.236999999999998</v>
      </c>
      <c r="D79" s="1">
        <v>16.809000000000001</v>
      </c>
      <c r="E79" s="1">
        <v>31.376999999999999</v>
      </c>
    </row>
    <row r="80" spans="1:5" x14ac:dyDescent="0.25">
      <c r="A80" s="1" t="s">
        <v>78</v>
      </c>
      <c r="B80" s="1">
        <v>126</v>
      </c>
      <c r="C80" s="1">
        <v>22.138999999999999</v>
      </c>
      <c r="D80" s="1">
        <v>19.495000000000001</v>
      </c>
      <c r="E80" s="1">
        <v>41.954999999999998</v>
      </c>
    </row>
    <row r="81" spans="1:5" x14ac:dyDescent="0.25">
      <c r="A81" s="1" t="s">
        <v>79</v>
      </c>
      <c r="B81" s="1">
        <v>96</v>
      </c>
      <c r="C81" s="1">
        <v>19.16</v>
      </c>
      <c r="D81" s="1">
        <v>13.843</v>
      </c>
      <c r="E81" s="1">
        <v>19.626999999999999</v>
      </c>
    </row>
    <row r="82" spans="1:5" x14ac:dyDescent="0.25">
      <c r="A82" s="1" t="s">
        <v>80</v>
      </c>
      <c r="B82" s="1">
        <v>111</v>
      </c>
      <c r="C82" s="1">
        <v>17.773</v>
      </c>
      <c r="D82" s="1">
        <v>16.068999999999999</v>
      </c>
      <c r="E82" s="1">
        <v>35.555999999999997</v>
      </c>
    </row>
    <row r="83" spans="1:5" x14ac:dyDescent="0.25">
      <c r="A83" s="1" t="s">
        <v>81</v>
      </c>
      <c r="B83" s="1">
        <v>88</v>
      </c>
      <c r="C83" s="1">
        <v>12.577</v>
      </c>
      <c r="D83" s="1">
        <v>6.95</v>
      </c>
      <c r="E83" s="1">
        <v>20.346</v>
      </c>
    </row>
    <row r="84" spans="1:5" x14ac:dyDescent="0.25">
      <c r="A84" s="1" t="s">
        <v>82</v>
      </c>
      <c r="B84" s="1">
        <v>84</v>
      </c>
      <c r="C84" s="1">
        <v>17.004000000000001</v>
      </c>
      <c r="D84" s="1">
        <v>12.073</v>
      </c>
      <c r="E84" s="1">
        <v>21.742000000000001</v>
      </c>
    </row>
    <row r="85" spans="1:5" x14ac:dyDescent="0.25">
      <c r="A85" s="1" t="s">
        <v>83</v>
      </c>
      <c r="B85" s="1">
        <v>98</v>
      </c>
      <c r="C85" s="1">
        <v>25.48</v>
      </c>
      <c r="D85" s="1">
        <v>16.574000000000002</v>
      </c>
      <c r="E85" s="1">
        <v>36.466000000000001</v>
      </c>
    </row>
    <row r="86" spans="1:5" x14ac:dyDescent="0.25">
      <c r="A86" s="1" t="s">
        <v>84</v>
      </c>
      <c r="B86" s="1">
        <v>99</v>
      </c>
      <c r="C86" s="1">
        <v>15.576000000000001</v>
      </c>
      <c r="D86" s="1">
        <v>9.5540000000000003</v>
      </c>
      <c r="E86" s="1">
        <v>23.379000000000001</v>
      </c>
    </row>
    <row r="87" spans="1:5" x14ac:dyDescent="0.25">
      <c r="A87" s="1" t="s">
        <v>85</v>
      </c>
      <c r="B87" s="1">
        <v>86</v>
      </c>
      <c r="C87" s="1">
        <v>13.476000000000001</v>
      </c>
      <c r="D87" s="1">
        <v>13.579000000000001</v>
      </c>
      <c r="E87" s="1">
        <v>23.02</v>
      </c>
    </row>
    <row r="88" spans="1:5" x14ac:dyDescent="0.25">
      <c r="A88" s="1" t="s">
        <v>86</v>
      </c>
      <c r="B88" s="1">
        <v>88</v>
      </c>
      <c r="C88" s="1">
        <v>13.683999999999999</v>
      </c>
      <c r="D88" s="1">
        <v>8.3409999999999993</v>
      </c>
      <c r="E88" s="1">
        <v>23.45</v>
      </c>
    </row>
    <row r="89" spans="1:5" x14ac:dyDescent="0.25">
      <c r="A89" s="1" t="s">
        <v>87</v>
      </c>
      <c r="B89" s="1">
        <v>125</v>
      </c>
      <c r="C89" s="1">
        <v>16.545999999999999</v>
      </c>
      <c r="D89" s="1">
        <v>8.6980000000000004</v>
      </c>
      <c r="E89" s="1">
        <v>30.853999999999999</v>
      </c>
    </row>
    <row r="90" spans="1:5" x14ac:dyDescent="0.25">
      <c r="A90" s="1" t="s">
        <v>88</v>
      </c>
      <c r="B90" s="1">
        <v>114</v>
      </c>
      <c r="C90" s="1">
        <v>16.890999999999998</v>
      </c>
      <c r="D90" s="1">
        <v>11.826000000000001</v>
      </c>
      <c r="E90" s="1">
        <v>22.029</v>
      </c>
    </row>
    <row r="91" spans="1:5" x14ac:dyDescent="0.25">
      <c r="A91" s="1" t="s">
        <v>89</v>
      </c>
      <c r="B91" s="1">
        <v>110</v>
      </c>
      <c r="C91" s="1">
        <v>20.606000000000002</v>
      </c>
      <c r="D91" s="1">
        <v>13.941000000000001</v>
      </c>
      <c r="E91" s="1">
        <v>26.63</v>
      </c>
    </row>
    <row r="92" spans="1:5" x14ac:dyDescent="0.25">
      <c r="A92" s="1" t="s">
        <v>90</v>
      </c>
      <c r="B92" s="1">
        <v>111</v>
      </c>
      <c r="C92" s="1">
        <v>18.004000000000001</v>
      </c>
      <c r="D92" s="1">
        <v>8.1880000000000006</v>
      </c>
      <c r="E92" s="1">
        <v>29.286999999999999</v>
      </c>
    </row>
    <row r="93" spans="1:5" x14ac:dyDescent="0.25">
      <c r="A93" s="1" t="s">
        <v>91</v>
      </c>
      <c r="B93" s="1">
        <v>83</v>
      </c>
      <c r="C93" s="1">
        <v>11.957000000000001</v>
      </c>
      <c r="D93" s="1">
        <v>8.7829999999999995</v>
      </c>
      <c r="E93" s="1">
        <v>17.350000000000001</v>
      </c>
    </row>
    <row r="94" spans="1:5" x14ac:dyDescent="0.25">
      <c r="A94" s="1" t="s">
        <v>92</v>
      </c>
      <c r="B94" s="1">
        <v>140</v>
      </c>
      <c r="C94" s="1">
        <v>20.867999999999999</v>
      </c>
      <c r="D94" s="1">
        <v>17.251999999999999</v>
      </c>
      <c r="E94" s="1">
        <v>31.98</v>
      </c>
    </row>
    <row r="95" spans="1:5" x14ac:dyDescent="0.25">
      <c r="A95" s="1" t="s">
        <v>93</v>
      </c>
      <c r="B95" s="1">
        <v>66</v>
      </c>
      <c r="C95" s="1">
        <v>17.579000000000001</v>
      </c>
      <c r="D95" s="1">
        <v>11.32</v>
      </c>
      <c r="E95" s="1">
        <v>28.652000000000001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6" sqref="D6"/>
    </sheetView>
  </sheetViews>
  <sheetFormatPr defaultRowHeight="15" x14ac:dyDescent="0.25"/>
  <cols>
    <col min="1" max="1" width="13.5703125" bestFit="1" customWidth="1"/>
    <col min="2" max="2" width="53.85546875" bestFit="1" customWidth="1"/>
  </cols>
  <sheetData>
    <row r="1" spans="1:2" x14ac:dyDescent="0.25">
      <c r="A1" s="8" t="s">
        <v>132</v>
      </c>
      <c r="B1" s="7" t="s">
        <v>94</v>
      </c>
    </row>
    <row r="2" spans="1:2" x14ac:dyDescent="0.25">
      <c r="A2" s="6" t="s">
        <v>95</v>
      </c>
      <c r="B2" s="5" t="s">
        <v>151</v>
      </c>
    </row>
    <row r="3" spans="1:2" x14ac:dyDescent="0.25">
      <c r="A3" s="6" t="s">
        <v>96</v>
      </c>
      <c r="B3" s="5" t="s">
        <v>149</v>
      </c>
    </row>
    <row r="4" spans="1:2" x14ac:dyDescent="0.25">
      <c r="A4" s="6" t="s">
        <v>97</v>
      </c>
      <c r="B4" s="5" t="s">
        <v>148</v>
      </c>
    </row>
    <row r="5" spans="1:2" x14ac:dyDescent="0.25">
      <c r="A5" s="6" t="s">
        <v>98</v>
      </c>
      <c r="B5" s="5" t="s">
        <v>148</v>
      </c>
    </row>
    <row r="6" spans="1:2" x14ac:dyDescent="0.25">
      <c r="A6" s="6" t="s">
        <v>99</v>
      </c>
      <c r="B6" s="5" t="s">
        <v>149</v>
      </c>
    </row>
    <row r="7" spans="1:2" x14ac:dyDescent="0.25">
      <c r="A7" s="6" t="s">
        <v>100</v>
      </c>
      <c r="B7" s="5" t="s">
        <v>108</v>
      </c>
    </row>
    <row r="8" spans="1:2" x14ac:dyDescent="0.25">
      <c r="A8" s="6" t="s">
        <v>101</v>
      </c>
      <c r="B8" s="5" t="s">
        <v>108</v>
      </c>
    </row>
    <row r="9" spans="1:2" x14ac:dyDescent="0.25">
      <c r="A9" s="6" t="s">
        <v>102</v>
      </c>
      <c r="B9" s="5" t="s">
        <v>150</v>
      </c>
    </row>
    <row r="10" spans="1:2" x14ac:dyDescent="0.25">
      <c r="A10" s="6" t="s">
        <v>103</v>
      </c>
      <c r="B10" s="5" t="s">
        <v>108</v>
      </c>
    </row>
    <row r="11" spans="1:2" x14ac:dyDescent="0.25">
      <c r="A11" s="6" t="s">
        <v>104</v>
      </c>
      <c r="B11" s="5" t="s">
        <v>150</v>
      </c>
    </row>
    <row r="12" spans="1:2" x14ac:dyDescent="0.25">
      <c r="A12" s="6" t="s">
        <v>105</v>
      </c>
      <c r="B12" s="5" t="s">
        <v>149</v>
      </c>
    </row>
    <row r="13" spans="1:2" x14ac:dyDescent="0.25">
      <c r="A13" s="6" t="s">
        <v>106</v>
      </c>
      <c r="B13" s="5" t="s">
        <v>150</v>
      </c>
    </row>
    <row r="14" spans="1:2" x14ac:dyDescent="0.25">
      <c r="A14" s="6" t="s">
        <v>107</v>
      </c>
      <c r="B14" s="5" t="s">
        <v>149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tabSelected="1" workbookViewId="0">
      <selection activeCell="G17" sqref="G17"/>
    </sheetView>
  </sheetViews>
  <sheetFormatPr defaultRowHeight="15" x14ac:dyDescent="0.25"/>
  <cols>
    <col min="1" max="1" width="14" bestFit="1" customWidth="1"/>
    <col min="2" max="2" width="13.5703125" bestFit="1" customWidth="1"/>
    <col min="3" max="3" width="12.85546875" bestFit="1" customWidth="1"/>
    <col min="4" max="4" width="27.7109375" bestFit="1" customWidth="1"/>
    <col min="5" max="5" width="20.5703125" bestFit="1" customWidth="1"/>
    <col min="6" max="8" width="14.28515625" customWidth="1"/>
    <col min="11" max="11" width="10.140625" customWidth="1"/>
  </cols>
  <sheetData>
    <row r="1" spans="1:11" x14ac:dyDescent="0.25">
      <c r="A1" s="10" t="s">
        <v>134</v>
      </c>
      <c r="B1" s="10" t="s">
        <v>132</v>
      </c>
      <c r="C1" s="10" t="s">
        <v>109</v>
      </c>
      <c r="D1" s="10" t="s">
        <v>135</v>
      </c>
      <c r="E1" s="10" t="s">
        <v>112</v>
      </c>
      <c r="F1" s="10" t="s">
        <v>113</v>
      </c>
      <c r="G1" s="10" t="s">
        <v>114</v>
      </c>
      <c r="H1" s="10" t="s">
        <v>115</v>
      </c>
      <c r="I1" s="19" t="s">
        <v>137</v>
      </c>
      <c r="J1" s="19"/>
      <c r="K1" s="19"/>
    </row>
    <row r="2" spans="1:11" ht="15" customHeight="1" x14ac:dyDescent="0.25">
      <c r="A2" s="13">
        <v>1</v>
      </c>
      <c r="B2" s="13" t="s">
        <v>0</v>
      </c>
      <c r="C2" s="13">
        <v>121</v>
      </c>
      <c r="D2" s="13">
        <v>26.033000000000001</v>
      </c>
      <c r="E2" s="14" t="s">
        <v>138</v>
      </c>
      <c r="F2" s="14" t="s">
        <v>117</v>
      </c>
      <c r="G2" s="14" t="s">
        <v>117</v>
      </c>
      <c r="H2" s="14" t="s">
        <v>117</v>
      </c>
      <c r="I2" s="16" t="s">
        <v>136</v>
      </c>
      <c r="J2" s="16"/>
      <c r="K2" s="16"/>
    </row>
    <row r="3" spans="1:11" x14ac:dyDescent="0.25">
      <c r="A3" s="9">
        <f>A2+1</f>
        <v>2</v>
      </c>
      <c r="B3" s="9" t="s">
        <v>1</v>
      </c>
      <c r="C3" s="9">
        <v>131</v>
      </c>
      <c r="D3" s="9">
        <v>20.077000000000002</v>
      </c>
      <c r="E3" s="4"/>
      <c r="F3" s="4" t="s">
        <v>118</v>
      </c>
      <c r="G3" s="4" t="s">
        <v>117</v>
      </c>
      <c r="H3" s="4" t="s">
        <v>117</v>
      </c>
      <c r="I3" s="17"/>
      <c r="J3" s="17"/>
      <c r="K3" s="17"/>
    </row>
    <row r="4" spans="1:11" x14ac:dyDescent="0.25">
      <c r="A4" s="9">
        <f t="shared" ref="A4:A67" si="0">A3+1</f>
        <v>3</v>
      </c>
      <c r="B4" s="9" t="s">
        <v>2</v>
      </c>
      <c r="C4" s="9">
        <v>134</v>
      </c>
      <c r="D4" s="9">
        <v>15.672000000000001</v>
      </c>
      <c r="E4" s="4"/>
      <c r="F4" s="4" t="s">
        <v>118</v>
      </c>
      <c r="G4" s="4" t="s">
        <v>117</v>
      </c>
      <c r="H4" s="4" t="s">
        <v>118</v>
      </c>
      <c r="I4" s="17"/>
      <c r="J4" s="17"/>
      <c r="K4" s="17"/>
    </row>
    <row r="5" spans="1:11" x14ac:dyDescent="0.25">
      <c r="A5" s="9">
        <f t="shared" si="0"/>
        <v>4</v>
      </c>
      <c r="B5" s="9" t="s">
        <v>3</v>
      </c>
      <c r="C5" s="9">
        <v>84</v>
      </c>
      <c r="D5" s="9">
        <v>19.757000000000001</v>
      </c>
      <c r="E5" s="4"/>
      <c r="F5" s="4" t="s">
        <v>118</v>
      </c>
      <c r="G5" s="4" t="s">
        <v>118</v>
      </c>
      <c r="H5" s="4" t="s">
        <v>117</v>
      </c>
      <c r="I5" s="18"/>
      <c r="J5" s="18"/>
      <c r="K5" s="18"/>
    </row>
    <row r="6" spans="1:11" x14ac:dyDescent="0.25">
      <c r="A6" s="9">
        <f t="shared" si="0"/>
        <v>5</v>
      </c>
      <c r="B6" s="9" t="s">
        <v>4</v>
      </c>
      <c r="C6" s="9">
        <v>110</v>
      </c>
      <c r="D6" s="9">
        <v>17.512</v>
      </c>
      <c r="E6" s="4"/>
      <c r="F6" s="4" t="s">
        <v>117</v>
      </c>
      <c r="G6" s="4" t="s">
        <v>117</v>
      </c>
      <c r="H6" s="4" t="s">
        <v>117</v>
      </c>
      <c r="I6" s="20" t="s">
        <v>152</v>
      </c>
      <c r="J6" s="20"/>
      <c r="K6" s="20"/>
    </row>
    <row r="7" spans="1:11" x14ac:dyDescent="0.25">
      <c r="A7" s="9">
        <f t="shared" si="0"/>
        <v>6</v>
      </c>
      <c r="B7" s="9" t="s">
        <v>5</v>
      </c>
      <c r="C7" s="9">
        <v>123</v>
      </c>
      <c r="D7" s="9">
        <v>20.423999999999999</v>
      </c>
      <c r="E7" s="4"/>
      <c r="F7" s="4" t="s">
        <v>118</v>
      </c>
      <c r="G7" s="4" t="s">
        <v>118</v>
      </c>
      <c r="H7" s="4" t="s">
        <v>118</v>
      </c>
      <c r="I7" s="20"/>
      <c r="J7" s="20"/>
      <c r="K7" s="20"/>
    </row>
    <row r="8" spans="1:11" x14ac:dyDescent="0.25">
      <c r="A8" s="9">
        <f t="shared" si="0"/>
        <v>7</v>
      </c>
      <c r="B8" s="9" t="s">
        <v>6</v>
      </c>
      <c r="C8" s="9">
        <v>99</v>
      </c>
      <c r="D8" s="9">
        <v>16.308</v>
      </c>
      <c r="E8" s="4"/>
      <c r="F8" s="4" t="s">
        <v>118</v>
      </c>
      <c r="G8" s="4" t="s">
        <v>118</v>
      </c>
      <c r="H8" s="4" t="s">
        <v>117</v>
      </c>
    </row>
    <row r="9" spans="1:11" x14ac:dyDescent="0.25">
      <c r="A9" s="9">
        <f t="shared" si="0"/>
        <v>8</v>
      </c>
      <c r="B9" s="9" t="s">
        <v>7</v>
      </c>
      <c r="C9" s="9">
        <v>79</v>
      </c>
      <c r="D9" s="9">
        <v>12.478999999999999</v>
      </c>
      <c r="E9" s="4"/>
      <c r="F9" s="4" t="s">
        <v>118</v>
      </c>
      <c r="G9" s="4" t="s">
        <v>118</v>
      </c>
      <c r="H9" s="4" t="s">
        <v>118</v>
      </c>
    </row>
    <row r="10" spans="1:11" x14ac:dyDescent="0.25">
      <c r="A10" s="9">
        <f t="shared" si="0"/>
        <v>9</v>
      </c>
      <c r="B10" s="9" t="s">
        <v>8</v>
      </c>
      <c r="C10" s="9">
        <v>82</v>
      </c>
      <c r="D10" s="9">
        <v>18.129000000000001</v>
      </c>
      <c r="E10" s="4"/>
      <c r="F10" s="4" t="s">
        <v>118</v>
      </c>
      <c r="G10" s="4" t="s">
        <v>118</v>
      </c>
      <c r="H10" s="4" t="s">
        <v>117</v>
      </c>
    </row>
    <row r="11" spans="1:11" x14ac:dyDescent="0.25">
      <c r="A11" s="9">
        <f t="shared" si="0"/>
        <v>10</v>
      </c>
      <c r="B11" s="9" t="s">
        <v>9</v>
      </c>
      <c r="C11" s="9">
        <v>122</v>
      </c>
      <c r="D11" s="9">
        <v>13.688000000000001</v>
      </c>
      <c r="E11" s="4"/>
      <c r="F11" s="4" t="s">
        <v>118</v>
      </c>
      <c r="G11" s="4" t="s">
        <v>118</v>
      </c>
      <c r="H11" s="4" t="s">
        <v>117</v>
      </c>
    </row>
    <row r="12" spans="1:11" x14ac:dyDescent="0.25">
      <c r="A12" s="9">
        <f t="shared" si="0"/>
        <v>11</v>
      </c>
      <c r="B12" s="9" t="s">
        <v>10</v>
      </c>
      <c r="C12" s="9">
        <v>107</v>
      </c>
      <c r="D12" s="9">
        <v>20.689</v>
      </c>
      <c r="E12" s="4"/>
      <c r="F12" s="4" t="s">
        <v>117</v>
      </c>
      <c r="G12" s="4" t="s">
        <v>117</v>
      </c>
      <c r="H12" s="4" t="s">
        <v>117</v>
      </c>
    </row>
    <row r="13" spans="1:11" x14ac:dyDescent="0.25">
      <c r="A13" s="9">
        <f t="shared" si="0"/>
        <v>12</v>
      </c>
      <c r="B13" s="9" t="s">
        <v>11</v>
      </c>
      <c r="C13" s="9">
        <v>93</v>
      </c>
      <c r="D13" s="9">
        <v>20.423999999999999</v>
      </c>
      <c r="E13" s="4"/>
      <c r="F13" s="4" t="s">
        <v>118</v>
      </c>
      <c r="G13" s="4" t="s">
        <v>117</v>
      </c>
      <c r="H13" s="4" t="s">
        <v>118</v>
      </c>
    </row>
    <row r="14" spans="1:11" x14ac:dyDescent="0.25">
      <c r="A14" s="9">
        <f t="shared" si="0"/>
        <v>13</v>
      </c>
      <c r="B14" s="9" t="s">
        <v>12</v>
      </c>
      <c r="C14" s="9">
        <v>161</v>
      </c>
      <c r="D14" s="9">
        <v>18.053999999999998</v>
      </c>
      <c r="E14" s="4"/>
      <c r="F14" s="4" t="s">
        <v>118</v>
      </c>
      <c r="G14" s="4" t="s">
        <v>117</v>
      </c>
      <c r="H14" s="4" t="s">
        <v>117</v>
      </c>
    </row>
    <row r="15" spans="1:11" x14ac:dyDescent="0.25">
      <c r="A15" s="13">
        <f t="shared" si="0"/>
        <v>14</v>
      </c>
      <c r="B15" s="13" t="s">
        <v>0</v>
      </c>
      <c r="C15" s="13">
        <v>121</v>
      </c>
      <c r="D15" s="13">
        <v>26.033000000000001</v>
      </c>
      <c r="E15" s="14" t="s">
        <v>119</v>
      </c>
      <c r="F15" s="14" t="s">
        <v>117</v>
      </c>
      <c r="G15" s="14" t="s">
        <v>117</v>
      </c>
      <c r="H15" s="14" t="s">
        <v>117</v>
      </c>
    </row>
    <row r="16" spans="1:11" x14ac:dyDescent="0.25">
      <c r="A16" s="9">
        <f t="shared" si="0"/>
        <v>15</v>
      </c>
      <c r="B16" s="9" t="s">
        <v>13</v>
      </c>
      <c r="C16" s="9">
        <v>141</v>
      </c>
      <c r="D16" s="9">
        <v>20.731000000000002</v>
      </c>
      <c r="E16" s="4" t="s">
        <v>120</v>
      </c>
      <c r="F16" s="4" t="s">
        <v>118</v>
      </c>
      <c r="G16" s="4" t="s">
        <v>117</v>
      </c>
      <c r="H16" s="4" t="s">
        <v>117</v>
      </c>
    </row>
    <row r="17" spans="1:8" x14ac:dyDescent="0.25">
      <c r="A17" s="13">
        <f t="shared" si="0"/>
        <v>16</v>
      </c>
      <c r="B17" s="13" t="s">
        <v>14</v>
      </c>
      <c r="C17" s="13">
        <v>114</v>
      </c>
      <c r="D17" s="13">
        <v>22.448</v>
      </c>
      <c r="E17" s="14" t="s">
        <v>139</v>
      </c>
      <c r="F17" s="14" t="s">
        <v>117</v>
      </c>
      <c r="G17" s="14" t="s">
        <v>117</v>
      </c>
      <c r="H17" s="14" t="s">
        <v>117</v>
      </c>
    </row>
    <row r="18" spans="1:8" x14ac:dyDescent="0.25">
      <c r="A18" s="9">
        <f t="shared" si="0"/>
        <v>17</v>
      </c>
      <c r="B18" s="9" t="s">
        <v>15</v>
      </c>
      <c r="C18" s="9">
        <v>119</v>
      </c>
      <c r="D18" s="9">
        <v>19.689</v>
      </c>
      <c r="E18" s="4"/>
      <c r="F18" s="4" t="s">
        <v>118</v>
      </c>
      <c r="G18" s="4" t="s">
        <v>118</v>
      </c>
      <c r="H18" s="4" t="s">
        <v>118</v>
      </c>
    </row>
    <row r="19" spans="1:8" x14ac:dyDescent="0.25">
      <c r="A19" s="9">
        <f t="shared" si="0"/>
        <v>18</v>
      </c>
      <c r="B19" s="9" t="s">
        <v>16</v>
      </c>
      <c r="C19" s="9">
        <v>96</v>
      </c>
      <c r="D19" s="9">
        <v>17.893999999999998</v>
      </c>
      <c r="E19" s="4"/>
      <c r="F19" s="4" t="s">
        <v>118</v>
      </c>
      <c r="G19" s="4" t="s">
        <v>117</v>
      </c>
      <c r="H19" s="4" t="s">
        <v>118</v>
      </c>
    </row>
    <row r="20" spans="1:8" x14ac:dyDescent="0.25">
      <c r="A20" s="9">
        <f t="shared" si="0"/>
        <v>19</v>
      </c>
      <c r="B20" s="9" t="s">
        <v>17</v>
      </c>
      <c r="C20" s="9">
        <v>137</v>
      </c>
      <c r="D20" s="9">
        <v>19.693999999999999</v>
      </c>
      <c r="E20" s="4" t="s">
        <v>120</v>
      </c>
      <c r="F20" s="4" t="s">
        <v>118</v>
      </c>
      <c r="G20" s="4" t="s">
        <v>118</v>
      </c>
      <c r="H20" s="4" t="s">
        <v>118</v>
      </c>
    </row>
    <row r="21" spans="1:8" x14ac:dyDescent="0.25">
      <c r="A21" s="9">
        <f t="shared" si="0"/>
        <v>20</v>
      </c>
      <c r="B21" s="9" t="s">
        <v>18</v>
      </c>
      <c r="C21" s="9">
        <v>125</v>
      </c>
      <c r="D21" s="9">
        <v>14.78</v>
      </c>
      <c r="E21" s="4"/>
      <c r="F21" s="4" t="s">
        <v>118</v>
      </c>
      <c r="G21" s="4" t="s">
        <v>117</v>
      </c>
      <c r="H21" s="4" t="s">
        <v>118</v>
      </c>
    </row>
    <row r="22" spans="1:8" x14ac:dyDescent="0.25">
      <c r="A22" s="9">
        <f t="shared" si="0"/>
        <v>21</v>
      </c>
      <c r="B22" s="9" t="s">
        <v>19</v>
      </c>
      <c r="C22" s="9">
        <v>105</v>
      </c>
      <c r="D22" s="9">
        <v>10.422000000000001</v>
      </c>
      <c r="E22" s="4"/>
      <c r="F22" s="4" t="s">
        <v>118</v>
      </c>
      <c r="G22" s="4" t="s">
        <v>118</v>
      </c>
      <c r="H22" s="4" t="s">
        <v>117</v>
      </c>
    </row>
    <row r="23" spans="1:8" x14ac:dyDescent="0.25">
      <c r="A23" s="9">
        <f t="shared" si="0"/>
        <v>22</v>
      </c>
      <c r="B23" s="9" t="s">
        <v>20</v>
      </c>
      <c r="C23" s="9">
        <v>121</v>
      </c>
      <c r="D23" s="9">
        <v>20.922999999999998</v>
      </c>
      <c r="E23" s="4"/>
      <c r="F23" s="4" t="s">
        <v>118</v>
      </c>
      <c r="G23" s="4" t="s">
        <v>118</v>
      </c>
      <c r="H23" s="4" t="s">
        <v>118</v>
      </c>
    </row>
    <row r="24" spans="1:8" x14ac:dyDescent="0.25">
      <c r="A24" s="9">
        <f t="shared" si="0"/>
        <v>23</v>
      </c>
      <c r="B24" s="9" t="s">
        <v>21</v>
      </c>
      <c r="C24" s="9">
        <v>158</v>
      </c>
      <c r="D24" s="9">
        <v>18.294</v>
      </c>
      <c r="E24" s="4"/>
      <c r="F24" s="4" t="s">
        <v>117</v>
      </c>
      <c r="G24" s="4" t="s">
        <v>117</v>
      </c>
      <c r="H24" s="4" t="s">
        <v>117</v>
      </c>
    </row>
    <row r="25" spans="1:8" x14ac:dyDescent="0.25">
      <c r="A25" s="9">
        <f t="shared" si="0"/>
        <v>24</v>
      </c>
      <c r="B25" s="9" t="s">
        <v>22</v>
      </c>
      <c r="C25" s="9">
        <v>116</v>
      </c>
      <c r="D25" s="9">
        <v>23.638000000000002</v>
      </c>
      <c r="E25" s="4"/>
      <c r="F25" s="4" t="s">
        <v>117</v>
      </c>
      <c r="G25" s="4" t="s">
        <v>117</v>
      </c>
      <c r="H25" s="4" t="s">
        <v>117</v>
      </c>
    </row>
    <row r="26" spans="1:8" x14ac:dyDescent="0.25">
      <c r="A26" s="9">
        <f t="shared" si="0"/>
        <v>25</v>
      </c>
      <c r="B26" s="9" t="s">
        <v>23</v>
      </c>
      <c r="C26" s="9">
        <v>127</v>
      </c>
      <c r="D26" s="9">
        <v>22.835999999999999</v>
      </c>
      <c r="E26" s="4"/>
      <c r="F26" s="4" t="s">
        <v>118</v>
      </c>
      <c r="G26" s="4" t="s">
        <v>117</v>
      </c>
      <c r="H26" s="4" t="s">
        <v>117</v>
      </c>
    </row>
    <row r="27" spans="1:8" x14ac:dyDescent="0.25">
      <c r="A27" s="9">
        <f t="shared" si="0"/>
        <v>26</v>
      </c>
      <c r="B27" s="9" t="s">
        <v>24</v>
      </c>
      <c r="C27" s="9">
        <v>141</v>
      </c>
      <c r="D27" s="9">
        <v>21.686</v>
      </c>
      <c r="E27" s="4"/>
      <c r="F27" s="4" t="s">
        <v>117</v>
      </c>
      <c r="G27" s="4" t="s">
        <v>117</v>
      </c>
      <c r="H27" s="4" t="s">
        <v>117</v>
      </c>
    </row>
    <row r="28" spans="1:8" x14ac:dyDescent="0.25">
      <c r="A28" s="13">
        <f t="shared" si="0"/>
        <v>27</v>
      </c>
      <c r="B28" s="13" t="s">
        <v>25</v>
      </c>
      <c r="C28" s="13">
        <v>80</v>
      </c>
      <c r="D28" s="13">
        <v>15.318</v>
      </c>
      <c r="E28" s="14" t="s">
        <v>140</v>
      </c>
      <c r="F28" s="14" t="s">
        <v>118</v>
      </c>
      <c r="G28" s="14" t="s">
        <v>118</v>
      </c>
      <c r="H28" s="14" t="s">
        <v>118</v>
      </c>
    </row>
    <row r="29" spans="1:8" x14ac:dyDescent="0.25">
      <c r="A29" s="9">
        <f t="shared" si="0"/>
        <v>28</v>
      </c>
      <c r="B29" s="9" t="s">
        <v>26</v>
      </c>
      <c r="C29" s="9">
        <v>149</v>
      </c>
      <c r="D29" s="9">
        <v>23.577000000000002</v>
      </c>
      <c r="E29" s="4"/>
      <c r="F29" s="4" t="s">
        <v>118</v>
      </c>
      <c r="G29" s="4" t="s">
        <v>118</v>
      </c>
      <c r="H29" s="4" t="s">
        <v>117</v>
      </c>
    </row>
    <row r="30" spans="1:8" x14ac:dyDescent="0.25">
      <c r="A30" s="9">
        <f t="shared" si="0"/>
        <v>29</v>
      </c>
      <c r="B30" s="9" t="s">
        <v>27</v>
      </c>
      <c r="C30" s="9">
        <v>117</v>
      </c>
      <c r="D30" s="9">
        <v>19.827000000000002</v>
      </c>
      <c r="E30" s="4"/>
      <c r="F30" s="4" t="s">
        <v>118</v>
      </c>
      <c r="G30" s="4" t="s">
        <v>118</v>
      </c>
      <c r="H30" s="4" t="s">
        <v>117</v>
      </c>
    </row>
    <row r="31" spans="1:8" x14ac:dyDescent="0.25">
      <c r="A31" s="9">
        <f t="shared" si="0"/>
        <v>30</v>
      </c>
      <c r="B31" s="9" t="s">
        <v>28</v>
      </c>
      <c r="C31" s="9">
        <v>107</v>
      </c>
      <c r="D31" s="9">
        <v>16.149000000000001</v>
      </c>
      <c r="E31" s="4"/>
      <c r="F31" s="4" t="s">
        <v>118</v>
      </c>
      <c r="G31" s="4" t="s">
        <v>118</v>
      </c>
      <c r="H31" s="4" t="s">
        <v>117</v>
      </c>
    </row>
    <row r="32" spans="1:8" x14ac:dyDescent="0.25">
      <c r="A32" s="9">
        <f t="shared" si="0"/>
        <v>31</v>
      </c>
      <c r="B32" s="9" t="s">
        <v>29</v>
      </c>
      <c r="C32" s="9">
        <v>126</v>
      </c>
      <c r="D32" s="9">
        <v>12.071999999999999</v>
      </c>
      <c r="E32" s="4"/>
      <c r="F32" s="4" t="s">
        <v>118</v>
      </c>
      <c r="G32" s="4" t="s">
        <v>118</v>
      </c>
      <c r="H32" s="4" t="s">
        <v>118</v>
      </c>
    </row>
    <row r="33" spans="1:8" x14ac:dyDescent="0.25">
      <c r="A33" s="9">
        <f t="shared" si="0"/>
        <v>32</v>
      </c>
      <c r="B33" s="9" t="s">
        <v>30</v>
      </c>
      <c r="C33" s="9">
        <v>105</v>
      </c>
      <c r="D33" s="9">
        <v>17.404</v>
      </c>
      <c r="E33" s="4"/>
      <c r="F33" s="4" t="s">
        <v>118</v>
      </c>
      <c r="G33" s="4" t="s">
        <v>118</v>
      </c>
      <c r="H33" s="4" t="s">
        <v>118</v>
      </c>
    </row>
    <row r="34" spans="1:8" x14ac:dyDescent="0.25">
      <c r="A34" s="13">
        <f t="shared" si="0"/>
        <v>33</v>
      </c>
      <c r="B34" s="13" t="s">
        <v>14</v>
      </c>
      <c r="C34" s="13">
        <v>114</v>
      </c>
      <c r="D34" s="13">
        <v>22.448</v>
      </c>
      <c r="E34" s="14" t="s">
        <v>121</v>
      </c>
      <c r="F34" s="14" t="s">
        <v>117</v>
      </c>
      <c r="G34" s="14" t="s">
        <v>117</v>
      </c>
      <c r="H34" s="14" t="s">
        <v>117</v>
      </c>
    </row>
    <row r="35" spans="1:8" x14ac:dyDescent="0.25">
      <c r="A35" s="13">
        <f t="shared" si="0"/>
        <v>34</v>
      </c>
      <c r="B35" s="13" t="s">
        <v>31</v>
      </c>
      <c r="C35" s="13">
        <v>131</v>
      </c>
      <c r="D35" s="13">
        <v>24.091000000000001</v>
      </c>
      <c r="E35" s="14" t="s">
        <v>141</v>
      </c>
      <c r="F35" s="14" t="s">
        <v>118</v>
      </c>
      <c r="G35" s="14" t="s">
        <v>117</v>
      </c>
      <c r="H35" s="14" t="s">
        <v>117</v>
      </c>
    </row>
    <row r="36" spans="1:8" x14ac:dyDescent="0.25">
      <c r="A36" s="9">
        <f t="shared" si="0"/>
        <v>35</v>
      </c>
      <c r="B36" s="9" t="s">
        <v>32</v>
      </c>
      <c r="C36" s="9">
        <v>133</v>
      </c>
      <c r="D36" s="9">
        <v>27.222000000000001</v>
      </c>
      <c r="E36" s="4"/>
      <c r="F36" s="4" t="s">
        <v>117</v>
      </c>
      <c r="G36" s="4" t="s">
        <v>117</v>
      </c>
      <c r="H36" s="4" t="s">
        <v>117</v>
      </c>
    </row>
    <row r="37" spans="1:8" x14ac:dyDescent="0.25">
      <c r="A37" s="9">
        <f t="shared" si="0"/>
        <v>36</v>
      </c>
      <c r="B37" s="9" t="s">
        <v>33</v>
      </c>
      <c r="C37" s="9">
        <v>110</v>
      </c>
      <c r="D37" s="9">
        <v>21.114999999999998</v>
      </c>
      <c r="E37" s="4"/>
      <c r="F37" s="4" t="s">
        <v>118</v>
      </c>
      <c r="G37" s="4" t="s">
        <v>118</v>
      </c>
      <c r="H37" s="4" t="s">
        <v>117</v>
      </c>
    </row>
    <row r="38" spans="1:8" x14ac:dyDescent="0.25">
      <c r="A38" s="9">
        <f t="shared" si="0"/>
        <v>37</v>
      </c>
      <c r="B38" s="9" t="s">
        <v>34</v>
      </c>
      <c r="C38" s="9">
        <v>117</v>
      </c>
      <c r="D38" s="9">
        <v>21.786000000000001</v>
      </c>
      <c r="E38" s="4"/>
      <c r="F38" s="4" t="s">
        <v>118</v>
      </c>
      <c r="G38" s="4" t="s">
        <v>118</v>
      </c>
      <c r="H38" s="4" t="s">
        <v>117</v>
      </c>
    </row>
    <row r="39" spans="1:8" x14ac:dyDescent="0.25">
      <c r="A39" s="9">
        <f t="shared" si="0"/>
        <v>38</v>
      </c>
      <c r="B39" s="9" t="s">
        <v>35</v>
      </c>
      <c r="C39" s="9">
        <v>131</v>
      </c>
      <c r="D39" s="9">
        <v>26.558</v>
      </c>
      <c r="E39" s="4"/>
      <c r="F39" s="4" t="s">
        <v>118</v>
      </c>
      <c r="G39" s="4" t="s">
        <v>117</v>
      </c>
      <c r="H39" s="4" t="s">
        <v>117</v>
      </c>
    </row>
    <row r="40" spans="1:8" x14ac:dyDescent="0.25">
      <c r="A40" s="9">
        <f t="shared" si="0"/>
        <v>39</v>
      </c>
      <c r="B40" s="9" t="s">
        <v>36</v>
      </c>
      <c r="C40" s="9">
        <v>106</v>
      </c>
      <c r="D40" s="9">
        <v>17.901</v>
      </c>
      <c r="E40" s="4"/>
      <c r="F40" s="4" t="s">
        <v>118</v>
      </c>
      <c r="G40" s="4" t="s">
        <v>117</v>
      </c>
      <c r="H40" s="4" t="s">
        <v>117</v>
      </c>
    </row>
    <row r="41" spans="1:8" x14ac:dyDescent="0.25">
      <c r="A41" s="13">
        <f t="shared" si="0"/>
        <v>40</v>
      </c>
      <c r="B41" s="13" t="s">
        <v>25</v>
      </c>
      <c r="C41" s="13">
        <v>80</v>
      </c>
      <c r="D41" s="13">
        <v>15.318</v>
      </c>
      <c r="E41" s="14" t="s">
        <v>122</v>
      </c>
      <c r="F41" s="14" t="s">
        <v>118</v>
      </c>
      <c r="G41" s="14" t="s">
        <v>118</v>
      </c>
      <c r="H41" s="14" t="s">
        <v>118</v>
      </c>
    </row>
    <row r="42" spans="1:8" x14ac:dyDescent="0.25">
      <c r="A42" s="9">
        <f t="shared" si="0"/>
        <v>41</v>
      </c>
      <c r="B42" s="9" t="s">
        <v>37</v>
      </c>
      <c r="C42" s="9">
        <v>86</v>
      </c>
      <c r="D42" s="9">
        <v>15.804</v>
      </c>
      <c r="E42" s="4"/>
      <c r="F42" s="4" t="s">
        <v>118</v>
      </c>
      <c r="G42" s="4" t="s">
        <v>118</v>
      </c>
      <c r="H42" s="4" t="s">
        <v>117</v>
      </c>
    </row>
    <row r="43" spans="1:8" x14ac:dyDescent="0.25">
      <c r="A43" s="9">
        <f t="shared" si="0"/>
        <v>42</v>
      </c>
      <c r="B43" s="9" t="s">
        <v>38</v>
      </c>
      <c r="C43" s="9">
        <v>151</v>
      </c>
      <c r="D43" s="9">
        <v>21.832999999999998</v>
      </c>
      <c r="E43" s="4"/>
      <c r="F43" s="4" t="s">
        <v>118</v>
      </c>
      <c r="G43" s="4" t="s">
        <v>117</v>
      </c>
      <c r="H43" s="4" t="s">
        <v>117</v>
      </c>
    </row>
    <row r="44" spans="1:8" x14ac:dyDescent="0.25">
      <c r="A44" s="9">
        <f t="shared" si="0"/>
        <v>43</v>
      </c>
      <c r="B44" s="9" t="s">
        <v>39</v>
      </c>
      <c r="C44" s="9">
        <v>125</v>
      </c>
      <c r="D44" s="9">
        <v>23.66</v>
      </c>
      <c r="E44" s="4"/>
      <c r="F44" s="4" t="s">
        <v>117</v>
      </c>
      <c r="G44" s="4" t="s">
        <v>117</v>
      </c>
      <c r="H44" s="4" t="s">
        <v>117</v>
      </c>
    </row>
    <row r="45" spans="1:8" x14ac:dyDescent="0.25">
      <c r="A45" s="9">
        <f t="shared" si="0"/>
        <v>44</v>
      </c>
      <c r="B45" s="9" t="s">
        <v>40</v>
      </c>
      <c r="C45" s="9">
        <v>116</v>
      </c>
      <c r="D45" s="9">
        <v>22.337</v>
      </c>
      <c r="E45" s="4"/>
      <c r="F45" s="4" t="s">
        <v>118</v>
      </c>
      <c r="G45" s="4" t="s">
        <v>118</v>
      </c>
      <c r="H45" s="4" t="s">
        <v>118</v>
      </c>
    </row>
    <row r="46" spans="1:8" x14ac:dyDescent="0.25">
      <c r="A46" s="13">
        <f t="shared" si="0"/>
        <v>45</v>
      </c>
      <c r="B46" s="13" t="s">
        <v>41</v>
      </c>
      <c r="C46" s="13">
        <v>130</v>
      </c>
      <c r="D46" s="13">
        <v>19.89</v>
      </c>
      <c r="E46" s="14" t="s">
        <v>142</v>
      </c>
      <c r="F46" s="14" t="s">
        <v>118</v>
      </c>
      <c r="G46" s="14" t="s">
        <v>118</v>
      </c>
      <c r="H46" s="14" t="s">
        <v>118</v>
      </c>
    </row>
    <row r="47" spans="1:8" x14ac:dyDescent="0.25">
      <c r="A47" s="9">
        <f t="shared" si="0"/>
        <v>46</v>
      </c>
      <c r="B47" s="9" t="s">
        <v>42</v>
      </c>
      <c r="C47" s="9">
        <v>143</v>
      </c>
      <c r="D47" s="9">
        <v>24.123000000000001</v>
      </c>
      <c r="E47" s="4"/>
      <c r="F47" s="4" t="s">
        <v>118</v>
      </c>
      <c r="G47" s="4" t="s">
        <v>118</v>
      </c>
      <c r="H47" s="4" t="s">
        <v>118</v>
      </c>
    </row>
    <row r="48" spans="1:8" x14ac:dyDescent="0.25">
      <c r="A48" s="9">
        <f t="shared" si="0"/>
        <v>47</v>
      </c>
      <c r="B48" s="9" t="s">
        <v>43</v>
      </c>
      <c r="C48" s="9">
        <v>91</v>
      </c>
      <c r="D48" s="9">
        <v>12.709</v>
      </c>
      <c r="E48" s="4"/>
      <c r="F48" s="4" t="s">
        <v>118</v>
      </c>
      <c r="G48" s="4" t="s">
        <v>118</v>
      </c>
      <c r="H48" s="4" t="s">
        <v>118</v>
      </c>
    </row>
    <row r="49" spans="1:8" x14ac:dyDescent="0.25">
      <c r="A49" s="9">
        <f t="shared" si="0"/>
        <v>48</v>
      </c>
      <c r="B49" s="9" t="s">
        <v>44</v>
      </c>
      <c r="C49" s="9">
        <v>69</v>
      </c>
      <c r="D49" s="9">
        <v>11.776999999999999</v>
      </c>
      <c r="E49" s="4"/>
      <c r="F49" s="4" t="s">
        <v>118</v>
      </c>
      <c r="G49" s="4" t="s">
        <v>118</v>
      </c>
      <c r="H49" s="4" t="s">
        <v>118</v>
      </c>
    </row>
    <row r="50" spans="1:8" x14ac:dyDescent="0.25">
      <c r="A50" s="9">
        <f t="shared" si="0"/>
        <v>49</v>
      </c>
      <c r="B50" s="9" t="s">
        <v>45</v>
      </c>
      <c r="C50" s="9">
        <v>135</v>
      </c>
      <c r="D50" s="9">
        <v>19.091999999999999</v>
      </c>
      <c r="E50" s="4"/>
      <c r="F50" s="4" t="s">
        <v>118</v>
      </c>
      <c r="G50" s="4" t="s">
        <v>118</v>
      </c>
      <c r="H50" s="4" t="s">
        <v>118</v>
      </c>
    </row>
    <row r="51" spans="1:8" x14ac:dyDescent="0.25">
      <c r="A51" s="13">
        <f t="shared" si="0"/>
        <v>50</v>
      </c>
      <c r="B51" s="13" t="s">
        <v>46</v>
      </c>
      <c r="C51" s="13">
        <v>122</v>
      </c>
      <c r="D51" s="13">
        <v>22.35</v>
      </c>
      <c r="E51" s="14" t="s">
        <v>143</v>
      </c>
      <c r="F51" s="14" t="s">
        <v>118</v>
      </c>
      <c r="G51" s="14" t="s">
        <v>118</v>
      </c>
      <c r="H51" s="14" t="s">
        <v>117</v>
      </c>
    </row>
    <row r="52" spans="1:8" x14ac:dyDescent="0.25">
      <c r="A52" s="9">
        <f t="shared" si="0"/>
        <v>51</v>
      </c>
      <c r="B52" s="9" t="s">
        <v>47</v>
      </c>
      <c r="C52" s="9">
        <v>107</v>
      </c>
      <c r="D52" s="9">
        <v>18.777999999999999</v>
      </c>
      <c r="E52" s="4"/>
      <c r="F52" s="4" t="s">
        <v>118</v>
      </c>
      <c r="G52" s="4" t="s">
        <v>117</v>
      </c>
      <c r="H52" s="4" t="s">
        <v>117</v>
      </c>
    </row>
    <row r="53" spans="1:8" x14ac:dyDescent="0.25">
      <c r="A53" s="9">
        <f t="shared" si="0"/>
        <v>52</v>
      </c>
      <c r="B53" s="9" t="s">
        <v>48</v>
      </c>
      <c r="C53" s="9">
        <v>137</v>
      </c>
      <c r="D53" s="9">
        <v>21.492000000000001</v>
      </c>
      <c r="E53" s="4"/>
      <c r="F53" s="4" t="s">
        <v>118</v>
      </c>
      <c r="G53" s="4" t="s">
        <v>118</v>
      </c>
      <c r="H53" s="4" t="s">
        <v>118</v>
      </c>
    </row>
    <row r="54" spans="1:8" x14ac:dyDescent="0.25">
      <c r="A54" s="13">
        <f t="shared" si="0"/>
        <v>53</v>
      </c>
      <c r="B54" s="13" t="s">
        <v>49</v>
      </c>
      <c r="C54" s="13">
        <v>109</v>
      </c>
      <c r="D54" s="13">
        <v>19.977</v>
      </c>
      <c r="E54" s="14" t="s">
        <v>144</v>
      </c>
      <c r="F54" s="14" t="s">
        <v>118</v>
      </c>
      <c r="G54" s="14" t="s">
        <v>117</v>
      </c>
      <c r="H54" s="14" t="s">
        <v>117</v>
      </c>
    </row>
    <row r="55" spans="1:8" x14ac:dyDescent="0.25">
      <c r="A55" s="9">
        <f t="shared" si="0"/>
        <v>54</v>
      </c>
      <c r="B55" s="9" t="s">
        <v>50</v>
      </c>
      <c r="C55" s="9">
        <v>115</v>
      </c>
      <c r="D55" s="9">
        <v>19.494</v>
      </c>
      <c r="E55" s="4"/>
      <c r="F55" s="4" t="s">
        <v>118</v>
      </c>
      <c r="G55" s="4" t="s">
        <v>117</v>
      </c>
      <c r="H55" s="4" t="s">
        <v>118</v>
      </c>
    </row>
    <row r="56" spans="1:8" x14ac:dyDescent="0.25">
      <c r="A56" s="9">
        <f t="shared" si="0"/>
        <v>55</v>
      </c>
      <c r="B56" s="9" t="s">
        <v>51</v>
      </c>
      <c r="C56" s="9">
        <v>146</v>
      </c>
      <c r="D56" s="9">
        <v>22.88</v>
      </c>
      <c r="E56" s="4"/>
      <c r="F56" s="4" t="s">
        <v>117</v>
      </c>
      <c r="G56" s="4" t="s">
        <v>117</v>
      </c>
      <c r="H56" s="4" t="s">
        <v>117</v>
      </c>
    </row>
    <row r="57" spans="1:8" x14ac:dyDescent="0.25">
      <c r="A57" s="9">
        <f t="shared" si="0"/>
        <v>56</v>
      </c>
      <c r="B57" s="9" t="s">
        <v>52</v>
      </c>
      <c r="C57" s="9">
        <v>91</v>
      </c>
      <c r="D57" s="9">
        <v>14.404</v>
      </c>
      <c r="E57" s="4"/>
      <c r="F57" s="4" t="s">
        <v>118</v>
      </c>
      <c r="G57" s="4" t="s">
        <v>118</v>
      </c>
      <c r="H57" s="4" t="s">
        <v>118</v>
      </c>
    </row>
    <row r="58" spans="1:8" x14ac:dyDescent="0.25">
      <c r="A58" s="9">
        <f t="shared" si="0"/>
        <v>57</v>
      </c>
      <c r="B58" s="9" t="s">
        <v>53</v>
      </c>
      <c r="C58" s="9">
        <v>125</v>
      </c>
      <c r="D58" s="9">
        <v>18.638999999999999</v>
      </c>
      <c r="E58" s="4"/>
      <c r="F58" s="4" t="s">
        <v>118</v>
      </c>
      <c r="G58" s="4" t="s">
        <v>117</v>
      </c>
      <c r="H58" s="4" t="s">
        <v>117</v>
      </c>
    </row>
    <row r="59" spans="1:8" x14ac:dyDescent="0.25">
      <c r="A59" s="9">
        <f t="shared" si="0"/>
        <v>58</v>
      </c>
      <c r="B59" s="9" t="s">
        <v>54</v>
      </c>
      <c r="C59" s="9">
        <v>111</v>
      </c>
      <c r="D59" s="9">
        <v>18.219000000000001</v>
      </c>
      <c r="E59" s="4"/>
      <c r="F59" s="4" t="s">
        <v>118</v>
      </c>
      <c r="G59" s="4" t="s">
        <v>118</v>
      </c>
      <c r="H59" s="4" t="s">
        <v>118</v>
      </c>
    </row>
    <row r="60" spans="1:8" x14ac:dyDescent="0.25">
      <c r="A60" s="9">
        <f t="shared" si="0"/>
        <v>59</v>
      </c>
      <c r="B60" s="9" t="s">
        <v>55</v>
      </c>
      <c r="C60" s="9">
        <v>92</v>
      </c>
      <c r="D60" s="9">
        <v>18.332000000000001</v>
      </c>
      <c r="E60" s="4"/>
      <c r="F60" s="4" t="s">
        <v>118</v>
      </c>
      <c r="G60" s="4" t="s">
        <v>118</v>
      </c>
      <c r="H60" s="4" t="s">
        <v>118</v>
      </c>
    </row>
    <row r="61" spans="1:8" x14ac:dyDescent="0.25">
      <c r="A61" s="13">
        <f t="shared" si="0"/>
        <v>60</v>
      </c>
      <c r="B61" s="13" t="s">
        <v>56</v>
      </c>
      <c r="C61" s="13">
        <v>127</v>
      </c>
      <c r="D61" s="13">
        <v>18.946000000000002</v>
      </c>
      <c r="E61" s="14" t="s">
        <v>145</v>
      </c>
      <c r="F61" s="14" t="s">
        <v>118</v>
      </c>
      <c r="G61" s="14" t="s">
        <v>118</v>
      </c>
      <c r="H61" s="14" t="s">
        <v>118</v>
      </c>
    </row>
    <row r="62" spans="1:8" x14ac:dyDescent="0.25">
      <c r="A62" s="9">
        <f t="shared" si="0"/>
        <v>61</v>
      </c>
      <c r="B62" s="9" t="s">
        <v>57</v>
      </c>
      <c r="C62" s="9">
        <v>105</v>
      </c>
      <c r="D62" s="9">
        <v>18.905000000000001</v>
      </c>
      <c r="E62" s="4"/>
      <c r="F62" s="4" t="s">
        <v>118</v>
      </c>
      <c r="G62" s="4" t="s">
        <v>118</v>
      </c>
      <c r="H62" s="4" t="s">
        <v>118</v>
      </c>
    </row>
    <row r="63" spans="1:8" x14ac:dyDescent="0.25">
      <c r="A63" s="9">
        <f t="shared" si="0"/>
        <v>62</v>
      </c>
      <c r="B63" s="9" t="s">
        <v>58</v>
      </c>
      <c r="C63" s="9">
        <v>106</v>
      </c>
      <c r="D63" s="9">
        <v>15.667</v>
      </c>
      <c r="E63" s="4"/>
      <c r="F63" s="4" t="s">
        <v>118</v>
      </c>
      <c r="G63" s="4" t="s">
        <v>118</v>
      </c>
      <c r="H63" s="4" t="s">
        <v>118</v>
      </c>
    </row>
    <row r="64" spans="1:8" x14ac:dyDescent="0.25">
      <c r="A64" s="9">
        <f t="shared" si="0"/>
        <v>63</v>
      </c>
      <c r="B64" s="9" t="s">
        <v>59</v>
      </c>
      <c r="C64" s="9">
        <v>137</v>
      </c>
      <c r="D64" s="9">
        <v>21.166</v>
      </c>
      <c r="E64" s="4" t="s">
        <v>120</v>
      </c>
      <c r="F64" s="4" t="s">
        <v>117</v>
      </c>
      <c r="G64" s="4" t="s">
        <v>117</v>
      </c>
      <c r="H64" s="4" t="s">
        <v>117</v>
      </c>
    </row>
    <row r="65" spans="1:8" x14ac:dyDescent="0.25">
      <c r="A65" s="13">
        <f t="shared" si="0"/>
        <v>64</v>
      </c>
      <c r="B65" s="13" t="s">
        <v>60</v>
      </c>
      <c r="C65" s="13">
        <v>91</v>
      </c>
      <c r="D65" s="13">
        <v>16.427</v>
      </c>
      <c r="E65" s="14" t="s">
        <v>146</v>
      </c>
      <c r="F65" s="14" t="s">
        <v>118</v>
      </c>
      <c r="G65" s="14" t="s">
        <v>118</v>
      </c>
      <c r="H65" s="14" t="s">
        <v>117</v>
      </c>
    </row>
    <row r="66" spans="1:8" x14ac:dyDescent="0.25">
      <c r="A66" s="9">
        <f t="shared" si="0"/>
        <v>65</v>
      </c>
      <c r="B66" s="9" t="s">
        <v>61</v>
      </c>
      <c r="C66" s="9">
        <v>95</v>
      </c>
      <c r="D66" s="9">
        <v>17.378</v>
      </c>
      <c r="E66" s="4"/>
      <c r="F66" s="4" t="s">
        <v>118</v>
      </c>
      <c r="G66" s="4" t="s">
        <v>117</v>
      </c>
      <c r="H66" s="4" t="s">
        <v>118</v>
      </c>
    </row>
    <row r="67" spans="1:8" x14ac:dyDescent="0.25">
      <c r="A67" s="9">
        <f t="shared" si="0"/>
        <v>66</v>
      </c>
      <c r="B67" s="9" t="s">
        <v>62</v>
      </c>
      <c r="C67" s="9">
        <v>116</v>
      </c>
      <c r="D67" s="9">
        <v>19.917000000000002</v>
      </c>
      <c r="E67" s="4"/>
      <c r="F67" s="4" t="s">
        <v>118</v>
      </c>
      <c r="G67" s="4" t="s">
        <v>118</v>
      </c>
      <c r="H67" s="4" t="s">
        <v>118</v>
      </c>
    </row>
    <row r="68" spans="1:8" x14ac:dyDescent="0.25">
      <c r="A68" s="9">
        <f t="shared" ref="A68:A105" si="1">A67+1</f>
        <v>67</v>
      </c>
      <c r="B68" s="9" t="s">
        <v>63</v>
      </c>
      <c r="C68" s="9">
        <v>95</v>
      </c>
      <c r="D68" s="9">
        <v>13.265000000000001</v>
      </c>
      <c r="E68" s="4"/>
      <c r="F68" s="4" t="s">
        <v>118</v>
      </c>
      <c r="G68" s="4" t="s">
        <v>118</v>
      </c>
      <c r="H68" s="4" t="s">
        <v>118</v>
      </c>
    </row>
    <row r="69" spans="1:8" x14ac:dyDescent="0.25">
      <c r="A69" s="9">
        <f t="shared" si="1"/>
        <v>68</v>
      </c>
      <c r="B69" s="9" t="s">
        <v>64</v>
      </c>
      <c r="C69" s="9">
        <v>117</v>
      </c>
      <c r="D69" s="9">
        <v>20.395</v>
      </c>
      <c r="E69" s="4"/>
      <c r="F69" s="4" t="s">
        <v>118</v>
      </c>
      <c r="G69" s="4" t="s">
        <v>117</v>
      </c>
      <c r="H69" s="4" t="s">
        <v>117</v>
      </c>
    </row>
    <row r="70" spans="1:8" x14ac:dyDescent="0.25">
      <c r="A70" s="13">
        <f t="shared" si="1"/>
        <v>69</v>
      </c>
      <c r="B70" s="13" t="s">
        <v>41</v>
      </c>
      <c r="C70" s="13">
        <v>130</v>
      </c>
      <c r="D70" s="13">
        <v>19.89</v>
      </c>
      <c r="E70" s="14" t="s">
        <v>123</v>
      </c>
      <c r="F70" s="14" t="s">
        <v>118</v>
      </c>
      <c r="G70" s="14" t="s">
        <v>118</v>
      </c>
      <c r="H70" s="14" t="s">
        <v>117</v>
      </c>
    </row>
    <row r="71" spans="1:8" x14ac:dyDescent="0.25">
      <c r="A71" s="9">
        <f t="shared" si="1"/>
        <v>70</v>
      </c>
      <c r="B71" s="9" t="s">
        <v>65</v>
      </c>
      <c r="C71" s="9">
        <v>76</v>
      </c>
      <c r="D71" s="9">
        <v>20.305</v>
      </c>
      <c r="E71" s="4"/>
      <c r="F71" s="4" t="s">
        <v>117</v>
      </c>
      <c r="G71" s="4" t="s">
        <v>117</v>
      </c>
      <c r="H71" s="4" t="s">
        <v>117</v>
      </c>
    </row>
    <row r="72" spans="1:8" x14ac:dyDescent="0.25">
      <c r="A72" s="13">
        <f t="shared" si="1"/>
        <v>71</v>
      </c>
      <c r="B72" s="13" t="s">
        <v>31</v>
      </c>
      <c r="C72" s="13">
        <v>131</v>
      </c>
      <c r="D72" s="13">
        <v>24.091000000000001</v>
      </c>
      <c r="E72" s="14" t="s">
        <v>124</v>
      </c>
      <c r="F72" s="14" t="s">
        <v>117</v>
      </c>
      <c r="G72" s="14" t="s">
        <v>117</v>
      </c>
      <c r="H72" s="14" t="s">
        <v>117</v>
      </c>
    </row>
    <row r="73" spans="1:8" x14ac:dyDescent="0.25">
      <c r="A73" s="9">
        <f t="shared" si="1"/>
        <v>72</v>
      </c>
      <c r="B73" s="9" t="s">
        <v>66</v>
      </c>
      <c r="C73" s="9">
        <v>110</v>
      </c>
      <c r="D73" s="9">
        <v>19.861000000000001</v>
      </c>
      <c r="E73" s="4"/>
      <c r="F73" s="4" t="s">
        <v>118</v>
      </c>
      <c r="G73" s="4" t="s">
        <v>118</v>
      </c>
      <c r="H73" s="4" t="s">
        <v>118</v>
      </c>
    </row>
    <row r="74" spans="1:8" x14ac:dyDescent="0.25">
      <c r="A74" s="9">
        <f t="shared" si="1"/>
        <v>73</v>
      </c>
      <c r="B74" s="9" t="s">
        <v>67</v>
      </c>
      <c r="C74" s="9">
        <v>138</v>
      </c>
      <c r="D74" s="9">
        <v>14.356999999999999</v>
      </c>
      <c r="E74" s="4"/>
      <c r="F74" s="4" t="s">
        <v>118</v>
      </c>
      <c r="G74" s="4" t="s">
        <v>118</v>
      </c>
      <c r="H74" s="4" t="s">
        <v>117</v>
      </c>
    </row>
    <row r="75" spans="1:8" x14ac:dyDescent="0.25">
      <c r="A75" s="9">
        <f t="shared" si="1"/>
        <v>74</v>
      </c>
      <c r="B75" s="9" t="s">
        <v>68</v>
      </c>
      <c r="C75" s="9">
        <v>119</v>
      </c>
      <c r="D75" s="9">
        <v>18.16</v>
      </c>
      <c r="E75" s="4"/>
      <c r="F75" s="4" t="s">
        <v>118</v>
      </c>
      <c r="G75" s="4" t="s">
        <v>118</v>
      </c>
      <c r="H75" s="4" t="s">
        <v>118</v>
      </c>
    </row>
    <row r="76" spans="1:8" x14ac:dyDescent="0.25">
      <c r="A76" s="9">
        <f t="shared" si="1"/>
        <v>75</v>
      </c>
      <c r="B76" s="9" t="s">
        <v>69</v>
      </c>
      <c r="C76" s="9">
        <v>104</v>
      </c>
      <c r="D76" s="9">
        <v>21.373000000000001</v>
      </c>
      <c r="E76" s="4"/>
      <c r="F76" s="4" t="s">
        <v>118</v>
      </c>
      <c r="G76" s="4" t="s">
        <v>117</v>
      </c>
      <c r="H76" s="4" t="s">
        <v>118</v>
      </c>
    </row>
    <row r="77" spans="1:8" x14ac:dyDescent="0.25">
      <c r="A77" s="13">
        <f t="shared" si="1"/>
        <v>76</v>
      </c>
      <c r="B77" s="13" t="s">
        <v>70</v>
      </c>
      <c r="C77" s="13">
        <v>132</v>
      </c>
      <c r="D77" s="13">
        <v>21.689</v>
      </c>
      <c r="E77" s="14" t="s">
        <v>147</v>
      </c>
      <c r="F77" s="14" t="s">
        <v>117</v>
      </c>
      <c r="G77" s="14" t="s">
        <v>117</v>
      </c>
      <c r="H77" s="14" t="s">
        <v>117</v>
      </c>
    </row>
    <row r="78" spans="1:8" x14ac:dyDescent="0.25">
      <c r="A78" s="9">
        <f t="shared" si="1"/>
        <v>77</v>
      </c>
      <c r="B78" s="9" t="s">
        <v>71</v>
      </c>
      <c r="C78" s="9">
        <v>97</v>
      </c>
      <c r="D78" s="9">
        <v>17.724</v>
      </c>
      <c r="E78" s="4"/>
      <c r="F78" s="4" t="s">
        <v>118</v>
      </c>
      <c r="G78" s="4" t="s">
        <v>117</v>
      </c>
      <c r="H78" s="4" t="s">
        <v>118</v>
      </c>
    </row>
    <row r="79" spans="1:8" x14ac:dyDescent="0.25">
      <c r="A79" s="9">
        <f t="shared" si="1"/>
        <v>78</v>
      </c>
      <c r="B79" s="9" t="s">
        <v>72</v>
      </c>
      <c r="C79" s="9">
        <v>70</v>
      </c>
      <c r="D79" s="9">
        <v>12.367000000000001</v>
      </c>
      <c r="E79" s="4" t="s">
        <v>120</v>
      </c>
      <c r="F79" s="4" t="s">
        <v>118</v>
      </c>
      <c r="G79" s="4" t="s">
        <v>118</v>
      </c>
      <c r="H79" s="4" t="s">
        <v>118</v>
      </c>
    </row>
    <row r="80" spans="1:8" x14ac:dyDescent="0.25">
      <c r="A80" s="13">
        <f t="shared" si="1"/>
        <v>79</v>
      </c>
      <c r="B80" s="13" t="s">
        <v>49</v>
      </c>
      <c r="C80" s="13">
        <v>109</v>
      </c>
      <c r="D80" s="13">
        <v>19.977</v>
      </c>
      <c r="E80" s="14" t="s">
        <v>125</v>
      </c>
      <c r="F80" s="14" t="s">
        <v>118</v>
      </c>
      <c r="G80" s="14" t="s">
        <v>117</v>
      </c>
      <c r="H80" s="14" t="s">
        <v>117</v>
      </c>
    </row>
    <row r="81" spans="1:8" x14ac:dyDescent="0.25">
      <c r="A81" s="13">
        <f t="shared" si="1"/>
        <v>80</v>
      </c>
      <c r="B81" s="13" t="s">
        <v>56</v>
      </c>
      <c r="C81" s="13">
        <v>127</v>
      </c>
      <c r="D81" s="13">
        <v>18.946000000000002</v>
      </c>
      <c r="E81" s="14" t="s">
        <v>126</v>
      </c>
      <c r="F81" s="14" t="s">
        <v>118</v>
      </c>
      <c r="G81" s="14" t="s">
        <v>117</v>
      </c>
      <c r="H81" s="14" t="s">
        <v>117</v>
      </c>
    </row>
    <row r="82" spans="1:8" x14ac:dyDescent="0.25">
      <c r="A82" s="9">
        <f t="shared" si="1"/>
        <v>81</v>
      </c>
      <c r="B82" s="9" t="s">
        <v>73</v>
      </c>
      <c r="C82" s="9">
        <v>94</v>
      </c>
      <c r="D82" s="9">
        <v>11.363</v>
      </c>
      <c r="E82" s="4"/>
      <c r="F82" s="4" t="s">
        <v>118</v>
      </c>
      <c r="G82" s="4" t="s">
        <v>118</v>
      </c>
      <c r="H82" s="4" t="s">
        <v>118</v>
      </c>
    </row>
    <row r="83" spans="1:8" x14ac:dyDescent="0.25">
      <c r="A83" s="9">
        <f t="shared" si="1"/>
        <v>82</v>
      </c>
      <c r="B83" s="9" t="s">
        <v>74</v>
      </c>
      <c r="C83" s="9">
        <v>115</v>
      </c>
      <c r="D83" s="9">
        <v>20.687999999999999</v>
      </c>
      <c r="E83" s="4"/>
      <c r="F83" s="4" t="s">
        <v>117</v>
      </c>
      <c r="G83" s="4" t="s">
        <v>117</v>
      </c>
      <c r="H83" s="4" t="s">
        <v>117</v>
      </c>
    </row>
    <row r="84" spans="1:8" x14ac:dyDescent="0.25">
      <c r="A84" s="13">
        <f t="shared" si="1"/>
        <v>83</v>
      </c>
      <c r="B84" s="13" t="s">
        <v>60</v>
      </c>
      <c r="C84" s="13">
        <v>91</v>
      </c>
      <c r="D84" s="13">
        <v>16.427</v>
      </c>
      <c r="E84" s="14" t="s">
        <v>127</v>
      </c>
      <c r="F84" s="14" t="s">
        <v>118</v>
      </c>
      <c r="G84" s="14" t="s">
        <v>117</v>
      </c>
      <c r="H84" s="14" t="s">
        <v>118</v>
      </c>
    </row>
    <row r="85" spans="1:8" x14ac:dyDescent="0.25">
      <c r="A85" s="9">
        <f t="shared" si="1"/>
        <v>84</v>
      </c>
      <c r="B85" s="9" t="s">
        <v>75</v>
      </c>
      <c r="C85" s="9">
        <v>110</v>
      </c>
      <c r="D85" s="9">
        <v>21.777999999999999</v>
      </c>
      <c r="E85" s="4"/>
      <c r="F85" s="4" t="s">
        <v>117</v>
      </c>
      <c r="G85" s="4" t="s">
        <v>117</v>
      </c>
      <c r="H85" s="4" t="s">
        <v>117</v>
      </c>
    </row>
    <row r="86" spans="1:8" x14ac:dyDescent="0.25">
      <c r="A86" s="9">
        <f t="shared" si="1"/>
        <v>85</v>
      </c>
      <c r="B86" s="9" t="s">
        <v>76</v>
      </c>
      <c r="C86" s="9">
        <v>132</v>
      </c>
      <c r="D86" s="9">
        <v>24.143000000000001</v>
      </c>
      <c r="E86" s="4"/>
      <c r="F86" s="4" t="s">
        <v>118</v>
      </c>
      <c r="G86" s="4" t="s">
        <v>117</v>
      </c>
      <c r="H86" s="4" t="s">
        <v>117</v>
      </c>
    </row>
    <row r="87" spans="1:8" x14ac:dyDescent="0.25">
      <c r="A87" s="9">
        <f t="shared" si="1"/>
        <v>86</v>
      </c>
      <c r="B87" s="9" t="s">
        <v>77</v>
      </c>
      <c r="C87" s="9">
        <v>122</v>
      </c>
      <c r="D87" s="9">
        <v>20.236999999999998</v>
      </c>
      <c r="E87" s="4"/>
      <c r="F87" s="4" t="s">
        <v>117</v>
      </c>
      <c r="G87" s="4" t="s">
        <v>117</v>
      </c>
      <c r="H87" s="4" t="s">
        <v>117</v>
      </c>
    </row>
    <row r="88" spans="1:8" x14ac:dyDescent="0.25">
      <c r="A88" s="9">
        <f t="shared" si="1"/>
        <v>87</v>
      </c>
      <c r="B88" s="9" t="s">
        <v>78</v>
      </c>
      <c r="C88" s="9">
        <v>126</v>
      </c>
      <c r="D88" s="9">
        <v>22.138999999999999</v>
      </c>
      <c r="E88" s="4"/>
      <c r="F88" s="4" t="s">
        <v>117</v>
      </c>
      <c r="G88" s="4" t="s">
        <v>117</v>
      </c>
      <c r="H88" s="4" t="s">
        <v>117</v>
      </c>
    </row>
    <row r="89" spans="1:8" x14ac:dyDescent="0.25">
      <c r="A89" s="9">
        <f t="shared" si="1"/>
        <v>88</v>
      </c>
      <c r="B89" s="9" t="s">
        <v>79</v>
      </c>
      <c r="C89" s="9">
        <v>96</v>
      </c>
      <c r="D89" s="9">
        <v>19.16</v>
      </c>
      <c r="E89" s="4"/>
      <c r="F89" s="4" t="s">
        <v>118</v>
      </c>
      <c r="G89" s="4" t="s">
        <v>118</v>
      </c>
      <c r="H89" s="4" t="s">
        <v>118</v>
      </c>
    </row>
    <row r="90" spans="1:8" x14ac:dyDescent="0.25">
      <c r="A90" s="9">
        <f t="shared" si="1"/>
        <v>89</v>
      </c>
      <c r="B90" s="9" t="s">
        <v>80</v>
      </c>
      <c r="C90" s="9">
        <v>111</v>
      </c>
      <c r="D90" s="9">
        <v>17.773</v>
      </c>
      <c r="E90" s="4"/>
      <c r="F90" s="4" t="s">
        <v>118</v>
      </c>
      <c r="G90" s="4" t="s">
        <v>118</v>
      </c>
      <c r="H90" s="4" t="s">
        <v>118</v>
      </c>
    </row>
    <row r="91" spans="1:8" x14ac:dyDescent="0.25">
      <c r="A91" s="9">
        <f t="shared" si="1"/>
        <v>90</v>
      </c>
      <c r="B91" s="9" t="s">
        <v>81</v>
      </c>
      <c r="C91" s="9">
        <v>88</v>
      </c>
      <c r="D91" s="9">
        <v>12.577</v>
      </c>
      <c r="E91" s="4" t="s">
        <v>120</v>
      </c>
      <c r="F91" s="4" t="s">
        <v>118</v>
      </c>
      <c r="G91" s="4" t="s">
        <v>118</v>
      </c>
      <c r="H91" s="4" t="s">
        <v>118</v>
      </c>
    </row>
    <row r="92" spans="1:8" x14ac:dyDescent="0.25">
      <c r="A92" s="9">
        <f t="shared" si="1"/>
        <v>91</v>
      </c>
      <c r="B92" s="9" t="s">
        <v>82</v>
      </c>
      <c r="C92" s="9">
        <v>84</v>
      </c>
      <c r="D92" s="9">
        <v>17.004000000000001</v>
      </c>
      <c r="E92" s="4"/>
      <c r="F92" s="4" t="s">
        <v>118</v>
      </c>
      <c r="G92" s="4" t="s">
        <v>118</v>
      </c>
      <c r="H92" s="4" t="s">
        <v>117</v>
      </c>
    </row>
    <row r="93" spans="1:8" x14ac:dyDescent="0.25">
      <c r="A93" s="9">
        <f t="shared" si="1"/>
        <v>92</v>
      </c>
      <c r="B93" s="9" t="s">
        <v>83</v>
      </c>
      <c r="C93" s="9">
        <v>98</v>
      </c>
      <c r="D93" s="9">
        <v>25.48</v>
      </c>
      <c r="E93" s="4"/>
      <c r="F93" s="4" t="s">
        <v>117</v>
      </c>
      <c r="G93" s="4" t="s">
        <v>117</v>
      </c>
      <c r="H93" s="4" t="s">
        <v>117</v>
      </c>
    </row>
    <row r="94" spans="1:8" x14ac:dyDescent="0.25">
      <c r="A94" s="9">
        <f t="shared" si="1"/>
        <v>93</v>
      </c>
      <c r="B94" s="9" t="s">
        <v>84</v>
      </c>
      <c r="C94" s="9">
        <v>99</v>
      </c>
      <c r="D94" s="9">
        <v>15.576000000000001</v>
      </c>
      <c r="E94" s="4"/>
      <c r="F94" s="4" t="s">
        <v>118</v>
      </c>
      <c r="G94" s="4" t="s">
        <v>118</v>
      </c>
      <c r="H94" s="4" t="s">
        <v>117</v>
      </c>
    </row>
    <row r="95" spans="1:8" x14ac:dyDescent="0.25">
      <c r="A95" s="13">
        <f t="shared" si="1"/>
        <v>94</v>
      </c>
      <c r="B95" s="13" t="s">
        <v>70</v>
      </c>
      <c r="C95" s="13">
        <v>132</v>
      </c>
      <c r="D95" s="13">
        <v>21.689</v>
      </c>
      <c r="E95" s="14" t="s">
        <v>128</v>
      </c>
      <c r="F95" s="14" t="s">
        <v>117</v>
      </c>
      <c r="G95" s="14" t="s">
        <v>117</v>
      </c>
      <c r="H95" s="14" t="s">
        <v>117</v>
      </c>
    </row>
    <row r="96" spans="1:8" x14ac:dyDescent="0.25">
      <c r="A96" s="9">
        <f t="shared" si="1"/>
        <v>95</v>
      </c>
      <c r="B96" s="9" t="s">
        <v>85</v>
      </c>
      <c r="C96" s="9">
        <v>86</v>
      </c>
      <c r="D96" s="9">
        <v>13.476000000000001</v>
      </c>
      <c r="E96" s="4"/>
      <c r="F96" s="4" t="s">
        <v>118</v>
      </c>
      <c r="G96" s="4" t="s">
        <v>118</v>
      </c>
      <c r="H96" s="4" t="s">
        <v>117</v>
      </c>
    </row>
    <row r="97" spans="1:8" x14ac:dyDescent="0.25">
      <c r="A97" s="9">
        <f t="shared" si="1"/>
        <v>96</v>
      </c>
      <c r="B97" s="9" t="s">
        <v>86</v>
      </c>
      <c r="C97" s="9">
        <v>88</v>
      </c>
      <c r="D97" s="9">
        <v>13.683999999999999</v>
      </c>
      <c r="E97" s="4"/>
      <c r="F97" s="4" t="s">
        <v>118</v>
      </c>
      <c r="G97" s="4" t="s">
        <v>118</v>
      </c>
      <c r="H97" s="4" t="s">
        <v>118</v>
      </c>
    </row>
    <row r="98" spans="1:8" x14ac:dyDescent="0.25">
      <c r="A98" s="9">
        <f t="shared" si="1"/>
        <v>97</v>
      </c>
      <c r="B98" s="9" t="s">
        <v>87</v>
      </c>
      <c r="C98" s="9">
        <v>125</v>
      </c>
      <c r="D98" s="9">
        <v>16.545999999999999</v>
      </c>
      <c r="E98" s="4"/>
      <c r="F98" s="4" t="s">
        <v>118</v>
      </c>
      <c r="G98" s="4" t="s">
        <v>118</v>
      </c>
      <c r="H98" s="4" t="s">
        <v>117</v>
      </c>
    </row>
    <row r="99" spans="1:8" x14ac:dyDescent="0.25">
      <c r="A99" s="9">
        <f t="shared" si="1"/>
        <v>98</v>
      </c>
      <c r="B99" s="9" t="s">
        <v>88</v>
      </c>
      <c r="C99" s="9">
        <v>114</v>
      </c>
      <c r="D99" s="9">
        <v>16.890999999999998</v>
      </c>
      <c r="E99" s="4"/>
      <c r="F99" s="4" t="s">
        <v>118</v>
      </c>
      <c r="G99" s="4" t="s">
        <v>117</v>
      </c>
      <c r="H99" s="4" t="s">
        <v>117</v>
      </c>
    </row>
    <row r="100" spans="1:8" x14ac:dyDescent="0.25">
      <c r="A100" s="13">
        <f t="shared" si="1"/>
        <v>99</v>
      </c>
      <c r="B100" s="13" t="s">
        <v>46</v>
      </c>
      <c r="C100" s="13">
        <v>122</v>
      </c>
      <c r="D100" s="13">
        <v>22.35</v>
      </c>
      <c r="E100" s="14" t="s">
        <v>129</v>
      </c>
      <c r="F100" s="14" t="s">
        <v>118</v>
      </c>
      <c r="G100" s="14" t="s">
        <v>117</v>
      </c>
      <c r="H100" s="14" t="s">
        <v>117</v>
      </c>
    </row>
    <row r="101" spans="1:8" x14ac:dyDescent="0.25">
      <c r="A101" s="9">
        <f t="shared" si="1"/>
        <v>100</v>
      </c>
      <c r="B101" s="9" t="s">
        <v>89</v>
      </c>
      <c r="C101" s="9">
        <v>110</v>
      </c>
      <c r="D101" s="9">
        <v>20.606000000000002</v>
      </c>
      <c r="E101" s="4"/>
      <c r="F101" s="4" t="s">
        <v>118</v>
      </c>
      <c r="G101" s="4" t="s">
        <v>117</v>
      </c>
      <c r="H101" s="4" t="s">
        <v>117</v>
      </c>
    </row>
    <row r="102" spans="1:8" x14ac:dyDescent="0.25">
      <c r="A102" s="9">
        <f t="shared" si="1"/>
        <v>101</v>
      </c>
      <c r="B102" s="9" t="s">
        <v>90</v>
      </c>
      <c r="C102" s="9">
        <v>111</v>
      </c>
      <c r="D102" s="9">
        <v>18.004000000000001</v>
      </c>
      <c r="E102" s="4"/>
      <c r="F102" s="4" t="s">
        <v>118</v>
      </c>
      <c r="G102" s="4" t="s">
        <v>117</v>
      </c>
      <c r="H102" s="4" t="s">
        <v>117</v>
      </c>
    </row>
    <row r="103" spans="1:8" x14ac:dyDescent="0.25">
      <c r="A103" s="9">
        <f t="shared" si="1"/>
        <v>102</v>
      </c>
      <c r="B103" s="9" t="s">
        <v>91</v>
      </c>
      <c r="C103" s="9">
        <v>83</v>
      </c>
      <c r="D103" s="9">
        <v>11.957000000000001</v>
      </c>
      <c r="E103" s="4" t="s">
        <v>120</v>
      </c>
      <c r="F103" s="4" t="s">
        <v>118</v>
      </c>
      <c r="G103" s="4" t="s">
        <v>118</v>
      </c>
      <c r="H103" s="4" t="s">
        <v>118</v>
      </c>
    </row>
    <row r="104" spans="1:8" x14ac:dyDescent="0.25">
      <c r="A104" s="9">
        <f t="shared" si="1"/>
        <v>103</v>
      </c>
      <c r="B104" s="9" t="s">
        <v>92</v>
      </c>
      <c r="C104" s="9">
        <v>140</v>
      </c>
      <c r="D104" s="9">
        <v>20.867999999999999</v>
      </c>
      <c r="E104" s="4"/>
      <c r="F104" s="4" t="s">
        <v>118</v>
      </c>
      <c r="G104" s="4" t="s">
        <v>117</v>
      </c>
      <c r="H104" s="4" t="s">
        <v>117</v>
      </c>
    </row>
    <row r="105" spans="1:8" x14ac:dyDescent="0.25">
      <c r="A105" s="9">
        <f t="shared" si="1"/>
        <v>104</v>
      </c>
      <c r="B105" s="9" t="s">
        <v>93</v>
      </c>
      <c r="C105" s="9">
        <v>66</v>
      </c>
      <c r="D105" s="9">
        <v>17.579000000000001</v>
      </c>
      <c r="E105" s="4"/>
      <c r="F105" s="4" t="s">
        <v>118</v>
      </c>
      <c r="G105" s="4" t="s">
        <v>118</v>
      </c>
      <c r="H105" s="4" t="s">
        <v>118</v>
      </c>
    </row>
  </sheetData>
  <mergeCells count="3">
    <mergeCell ref="I2:K5"/>
    <mergeCell ref="I1:K1"/>
    <mergeCell ref="I6:K7"/>
  </mergeCells>
  <pageMargins left="0.7" right="0.7" top="0.75" bottom="0.75" header="0.3" footer="0.3"/>
  <pageSetup paperSize="9" orientation="landscape" horizontalDpi="2400" verticalDpi="24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D3" sqref="D3"/>
    </sheetView>
  </sheetViews>
  <sheetFormatPr defaultRowHeight="15" x14ac:dyDescent="0.25"/>
  <cols>
    <col min="1" max="1" width="14" style="2" bestFit="1" customWidth="1"/>
    <col min="2" max="2" width="13.5703125" style="3" bestFit="1" customWidth="1"/>
    <col min="3" max="3" width="20.5703125" bestFit="1" customWidth="1"/>
    <col min="4" max="6" width="14.28515625" customWidth="1"/>
  </cols>
  <sheetData>
    <row r="1" spans="1:9" x14ac:dyDescent="0.25">
      <c r="A1" s="11" t="s">
        <v>134</v>
      </c>
      <c r="B1" s="11" t="s">
        <v>132</v>
      </c>
      <c r="C1" s="10" t="s">
        <v>112</v>
      </c>
      <c r="D1" s="10" t="s">
        <v>113</v>
      </c>
      <c r="E1" s="10" t="s">
        <v>114</v>
      </c>
      <c r="F1" s="10" t="s">
        <v>130</v>
      </c>
      <c r="G1" s="19" t="s">
        <v>137</v>
      </c>
      <c r="H1" s="19"/>
      <c r="I1" s="19"/>
    </row>
    <row r="2" spans="1:9" x14ac:dyDescent="0.25">
      <c r="A2" s="9">
        <v>1</v>
      </c>
      <c r="B2" s="12" t="s">
        <v>0</v>
      </c>
      <c r="C2" s="4" t="s">
        <v>116</v>
      </c>
      <c r="D2" s="4" t="s">
        <v>117</v>
      </c>
      <c r="E2" s="4" t="s">
        <v>117</v>
      </c>
      <c r="F2" s="4" t="s">
        <v>117</v>
      </c>
      <c r="G2" s="17" t="s">
        <v>136</v>
      </c>
      <c r="H2" s="17"/>
      <c r="I2" s="17"/>
    </row>
    <row r="3" spans="1:9" x14ac:dyDescent="0.25">
      <c r="A3" s="9">
        <v>14</v>
      </c>
      <c r="B3" s="12" t="s">
        <v>0</v>
      </c>
      <c r="C3" s="4" t="s">
        <v>119</v>
      </c>
      <c r="D3" s="4" t="s">
        <v>117</v>
      </c>
      <c r="E3" s="4" t="s">
        <v>117</v>
      </c>
      <c r="F3" s="4" t="s">
        <v>117</v>
      </c>
      <c r="G3" s="17"/>
      <c r="H3" s="17"/>
      <c r="I3" s="17"/>
    </row>
    <row r="4" spans="1:9" x14ac:dyDescent="0.25">
      <c r="A4" s="9">
        <v>16</v>
      </c>
      <c r="B4" s="12" t="s">
        <v>14</v>
      </c>
      <c r="C4" s="4" t="s">
        <v>116</v>
      </c>
      <c r="D4" s="4" t="s">
        <v>117</v>
      </c>
      <c r="E4" s="4" t="s">
        <v>117</v>
      </c>
      <c r="F4" s="4" t="s">
        <v>117</v>
      </c>
      <c r="G4" s="17"/>
      <c r="H4" s="17"/>
      <c r="I4" s="17"/>
    </row>
    <row r="5" spans="1:9" x14ac:dyDescent="0.25">
      <c r="A5" s="9">
        <v>33</v>
      </c>
      <c r="B5" s="12" t="s">
        <v>14</v>
      </c>
      <c r="C5" s="4" t="s">
        <v>121</v>
      </c>
      <c r="D5" s="4" t="s">
        <v>117</v>
      </c>
      <c r="E5" s="4" t="s">
        <v>117</v>
      </c>
      <c r="F5" s="4" t="s">
        <v>117</v>
      </c>
      <c r="G5" s="17"/>
      <c r="H5" s="17"/>
      <c r="I5" s="17"/>
    </row>
    <row r="6" spans="1:9" x14ac:dyDescent="0.25">
      <c r="A6" s="9">
        <v>27</v>
      </c>
      <c r="B6" s="12" t="s">
        <v>25</v>
      </c>
      <c r="C6" s="4" t="s">
        <v>116</v>
      </c>
      <c r="D6" s="4" t="s">
        <v>118</v>
      </c>
      <c r="E6" s="4" t="s">
        <v>118</v>
      </c>
      <c r="F6" s="4" t="s">
        <v>118</v>
      </c>
    </row>
    <row r="7" spans="1:9" x14ac:dyDescent="0.25">
      <c r="A7" s="9">
        <v>40</v>
      </c>
      <c r="B7" s="12" t="s">
        <v>25</v>
      </c>
      <c r="C7" s="4" t="s">
        <v>122</v>
      </c>
      <c r="D7" s="4" t="s">
        <v>118</v>
      </c>
      <c r="E7" s="4" t="s">
        <v>118</v>
      </c>
      <c r="F7" s="4" t="s">
        <v>118</v>
      </c>
    </row>
    <row r="8" spans="1:9" x14ac:dyDescent="0.25">
      <c r="A8" s="9">
        <v>34</v>
      </c>
      <c r="B8" s="12" t="s">
        <v>31</v>
      </c>
      <c r="C8" s="4" t="s">
        <v>116</v>
      </c>
      <c r="D8" s="4" t="s">
        <v>118</v>
      </c>
      <c r="E8" s="4" t="s">
        <v>117</v>
      </c>
      <c r="F8" s="4" t="s">
        <v>117</v>
      </c>
    </row>
    <row r="9" spans="1:9" x14ac:dyDescent="0.25">
      <c r="A9" s="9">
        <v>71</v>
      </c>
      <c r="B9" s="12" t="s">
        <v>31</v>
      </c>
      <c r="C9" s="4" t="s">
        <v>124</v>
      </c>
      <c r="D9" s="4" t="s">
        <v>117</v>
      </c>
      <c r="E9" s="4" t="s">
        <v>117</v>
      </c>
      <c r="F9" s="4" t="s">
        <v>117</v>
      </c>
    </row>
    <row r="10" spans="1:9" x14ac:dyDescent="0.25">
      <c r="A10" s="9">
        <v>45</v>
      </c>
      <c r="B10" s="12" t="s">
        <v>41</v>
      </c>
      <c r="C10" s="4" t="s">
        <v>116</v>
      </c>
      <c r="D10" s="4" t="s">
        <v>118</v>
      </c>
      <c r="E10" s="4" t="s">
        <v>118</v>
      </c>
      <c r="F10" s="4" t="s">
        <v>118</v>
      </c>
    </row>
    <row r="11" spans="1:9" x14ac:dyDescent="0.25">
      <c r="A11" s="9">
        <v>69</v>
      </c>
      <c r="B11" s="12" t="s">
        <v>41</v>
      </c>
      <c r="C11" s="4" t="s">
        <v>123</v>
      </c>
      <c r="D11" s="4" t="s">
        <v>118</v>
      </c>
      <c r="E11" s="4" t="s">
        <v>118</v>
      </c>
      <c r="F11" s="4" t="s">
        <v>117</v>
      </c>
    </row>
    <row r="12" spans="1:9" x14ac:dyDescent="0.25">
      <c r="A12" s="9">
        <v>50</v>
      </c>
      <c r="B12" s="12" t="s">
        <v>46</v>
      </c>
      <c r="C12" s="4" t="s">
        <v>116</v>
      </c>
      <c r="D12" s="4" t="s">
        <v>118</v>
      </c>
      <c r="E12" s="4" t="s">
        <v>118</v>
      </c>
      <c r="F12" s="4" t="s">
        <v>117</v>
      </c>
    </row>
    <row r="13" spans="1:9" x14ac:dyDescent="0.25">
      <c r="A13" s="9">
        <v>99</v>
      </c>
      <c r="B13" s="12" t="s">
        <v>46</v>
      </c>
      <c r="C13" s="4" t="s">
        <v>129</v>
      </c>
      <c r="D13" s="4" t="s">
        <v>118</v>
      </c>
      <c r="E13" s="4" t="s">
        <v>117</v>
      </c>
      <c r="F13" s="4" t="s">
        <v>117</v>
      </c>
    </row>
    <row r="14" spans="1:9" x14ac:dyDescent="0.25">
      <c r="A14" s="9">
        <v>53</v>
      </c>
      <c r="B14" s="12" t="s">
        <v>49</v>
      </c>
      <c r="C14" s="4" t="s">
        <v>116</v>
      </c>
      <c r="D14" s="4" t="s">
        <v>118</v>
      </c>
      <c r="E14" s="4" t="s">
        <v>117</v>
      </c>
      <c r="F14" s="4" t="s">
        <v>117</v>
      </c>
    </row>
    <row r="15" spans="1:9" x14ac:dyDescent="0.25">
      <c r="A15" s="9">
        <v>79</v>
      </c>
      <c r="B15" s="12" t="s">
        <v>49</v>
      </c>
      <c r="C15" s="4" t="s">
        <v>125</v>
      </c>
      <c r="D15" s="4" t="s">
        <v>118</v>
      </c>
      <c r="E15" s="4" t="s">
        <v>117</v>
      </c>
      <c r="F15" s="4" t="s">
        <v>117</v>
      </c>
    </row>
    <row r="16" spans="1:9" x14ac:dyDescent="0.25">
      <c r="A16" s="9">
        <v>60</v>
      </c>
      <c r="B16" s="12" t="s">
        <v>56</v>
      </c>
      <c r="C16" s="4" t="s">
        <v>116</v>
      </c>
      <c r="D16" s="4" t="s">
        <v>118</v>
      </c>
      <c r="E16" s="4" t="s">
        <v>118</v>
      </c>
      <c r="F16" s="4" t="s">
        <v>118</v>
      </c>
    </row>
    <row r="17" spans="1:6" x14ac:dyDescent="0.25">
      <c r="A17" s="9">
        <v>80</v>
      </c>
      <c r="B17" s="12" t="s">
        <v>56</v>
      </c>
      <c r="C17" s="4" t="s">
        <v>126</v>
      </c>
      <c r="D17" s="4" t="s">
        <v>118</v>
      </c>
      <c r="E17" s="4" t="s">
        <v>117</v>
      </c>
      <c r="F17" s="4" t="s">
        <v>117</v>
      </c>
    </row>
    <row r="18" spans="1:6" x14ac:dyDescent="0.25">
      <c r="A18" s="9">
        <v>64</v>
      </c>
      <c r="B18" s="12" t="s">
        <v>60</v>
      </c>
      <c r="C18" s="4" t="s">
        <v>116</v>
      </c>
      <c r="D18" s="4" t="s">
        <v>118</v>
      </c>
      <c r="E18" s="4" t="s">
        <v>118</v>
      </c>
      <c r="F18" s="4" t="s">
        <v>117</v>
      </c>
    </row>
    <row r="19" spans="1:6" x14ac:dyDescent="0.25">
      <c r="A19" s="9">
        <v>83</v>
      </c>
      <c r="B19" s="12" t="s">
        <v>60</v>
      </c>
      <c r="C19" s="4" t="s">
        <v>127</v>
      </c>
      <c r="D19" s="4" t="s">
        <v>118</v>
      </c>
      <c r="E19" s="4" t="s">
        <v>117</v>
      </c>
      <c r="F19" s="4" t="s">
        <v>118</v>
      </c>
    </row>
    <row r="20" spans="1:6" x14ac:dyDescent="0.25">
      <c r="A20" s="9">
        <v>76</v>
      </c>
      <c r="B20" s="12" t="s">
        <v>70</v>
      </c>
      <c r="C20" s="4" t="s">
        <v>116</v>
      </c>
      <c r="D20" s="4" t="s">
        <v>117</v>
      </c>
      <c r="E20" s="4" t="s">
        <v>117</v>
      </c>
      <c r="F20" s="4" t="s">
        <v>117</v>
      </c>
    </row>
    <row r="21" spans="1:6" x14ac:dyDescent="0.25">
      <c r="A21" s="9">
        <v>94</v>
      </c>
      <c r="B21" s="12" t="s">
        <v>70</v>
      </c>
      <c r="C21" s="4" t="s">
        <v>128</v>
      </c>
      <c r="D21" s="4" t="s">
        <v>117</v>
      </c>
      <c r="E21" s="4" t="s">
        <v>117</v>
      </c>
      <c r="F21" s="4" t="s">
        <v>117</v>
      </c>
    </row>
  </sheetData>
  <mergeCells count="2">
    <mergeCell ref="G1:I1"/>
    <mergeCell ref="G2:I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D22" sqref="D22"/>
    </sheetView>
  </sheetViews>
  <sheetFormatPr defaultRowHeight="15" x14ac:dyDescent="0.25"/>
  <cols>
    <col min="1" max="1" width="14" bestFit="1" customWidth="1"/>
    <col min="2" max="2" width="13.5703125" bestFit="1" customWidth="1"/>
    <col min="3" max="3" width="12.85546875" bestFit="1" customWidth="1"/>
    <col min="4" max="4" width="28" bestFit="1" customWidth="1"/>
    <col min="5" max="5" width="20.42578125" bestFit="1" customWidth="1"/>
    <col min="6" max="6" width="14.85546875" bestFit="1" customWidth="1"/>
    <col min="7" max="8" width="15.42578125" bestFit="1" customWidth="1"/>
  </cols>
  <sheetData>
    <row r="1" spans="1:11" x14ac:dyDescent="0.25">
      <c r="A1" s="10" t="s">
        <v>134</v>
      </c>
      <c r="B1" s="10" t="s">
        <v>132</v>
      </c>
      <c r="C1" s="10" t="s">
        <v>109</v>
      </c>
      <c r="D1" s="10" t="s">
        <v>110</v>
      </c>
      <c r="E1" s="10" t="s">
        <v>112</v>
      </c>
      <c r="F1" s="10" t="s">
        <v>113</v>
      </c>
      <c r="G1" s="10" t="s">
        <v>114</v>
      </c>
      <c r="H1" s="10" t="s">
        <v>130</v>
      </c>
      <c r="I1" s="21" t="s">
        <v>137</v>
      </c>
      <c r="J1" s="22"/>
      <c r="K1" s="23"/>
    </row>
    <row r="2" spans="1:11" x14ac:dyDescent="0.25">
      <c r="A2" s="9">
        <v>15</v>
      </c>
      <c r="B2" s="9" t="s">
        <v>13</v>
      </c>
      <c r="C2" s="9">
        <v>141</v>
      </c>
      <c r="D2" s="9">
        <v>20.731000000000002</v>
      </c>
      <c r="E2" s="4" t="s">
        <v>120</v>
      </c>
      <c r="F2" s="4" t="s">
        <v>118</v>
      </c>
      <c r="G2" s="4" t="s">
        <v>117</v>
      </c>
      <c r="H2" s="4" t="s">
        <v>117</v>
      </c>
      <c r="I2" s="24" t="s">
        <v>136</v>
      </c>
      <c r="J2" s="25"/>
      <c r="K2" s="26"/>
    </row>
    <row r="3" spans="1:11" x14ac:dyDescent="0.25">
      <c r="A3" s="9">
        <v>19</v>
      </c>
      <c r="B3" s="9" t="s">
        <v>17</v>
      </c>
      <c r="C3" s="9">
        <v>137</v>
      </c>
      <c r="D3" s="9">
        <v>19.693999999999999</v>
      </c>
      <c r="E3" s="4" t="s">
        <v>120</v>
      </c>
      <c r="F3" s="4" t="s">
        <v>118</v>
      </c>
      <c r="G3" s="4" t="s">
        <v>118</v>
      </c>
      <c r="H3" s="4" t="s">
        <v>118</v>
      </c>
      <c r="I3" s="24"/>
      <c r="J3" s="25"/>
      <c r="K3" s="26"/>
    </row>
    <row r="4" spans="1:11" x14ac:dyDescent="0.25">
      <c r="A4" s="9">
        <v>63</v>
      </c>
      <c r="B4" s="9" t="s">
        <v>59</v>
      </c>
      <c r="C4" s="9">
        <v>137</v>
      </c>
      <c r="D4" s="9">
        <v>21.166</v>
      </c>
      <c r="E4" s="4" t="s">
        <v>120</v>
      </c>
      <c r="F4" s="4" t="s">
        <v>117</v>
      </c>
      <c r="G4" s="4" t="s">
        <v>117</v>
      </c>
      <c r="H4" s="4" t="s">
        <v>117</v>
      </c>
      <c r="I4" s="24"/>
      <c r="J4" s="25"/>
      <c r="K4" s="26"/>
    </row>
    <row r="5" spans="1:11" x14ac:dyDescent="0.25">
      <c r="A5" s="9">
        <v>78</v>
      </c>
      <c r="B5" s="9" t="s">
        <v>72</v>
      </c>
      <c r="C5" s="9">
        <v>70</v>
      </c>
      <c r="D5" s="9">
        <v>12.367000000000001</v>
      </c>
      <c r="E5" s="4" t="s">
        <v>120</v>
      </c>
      <c r="F5" s="4" t="s">
        <v>118</v>
      </c>
      <c r="G5" s="4" t="s">
        <v>118</v>
      </c>
      <c r="H5" s="4" t="s">
        <v>118</v>
      </c>
      <c r="I5" s="27"/>
      <c r="J5" s="28"/>
      <c r="K5" s="29"/>
    </row>
    <row r="6" spans="1:11" x14ac:dyDescent="0.25">
      <c r="A6" s="9">
        <v>90</v>
      </c>
      <c r="B6" s="9" t="s">
        <v>81</v>
      </c>
      <c r="C6" s="9">
        <v>88</v>
      </c>
      <c r="D6" s="9">
        <v>12.577</v>
      </c>
      <c r="E6" s="4" t="s">
        <v>120</v>
      </c>
      <c r="F6" s="4" t="s">
        <v>118</v>
      </c>
      <c r="G6" s="4" t="s">
        <v>118</v>
      </c>
      <c r="H6" s="4" t="s">
        <v>118</v>
      </c>
    </row>
    <row r="7" spans="1:11" x14ac:dyDescent="0.25">
      <c r="A7" s="9">
        <v>102</v>
      </c>
      <c r="B7" s="9" t="s">
        <v>91</v>
      </c>
      <c r="C7" s="9">
        <v>83</v>
      </c>
      <c r="D7" s="9">
        <v>11.957000000000001</v>
      </c>
      <c r="E7" s="4" t="s">
        <v>120</v>
      </c>
      <c r="F7" s="4" t="s">
        <v>118</v>
      </c>
      <c r="G7" s="4" t="s">
        <v>118</v>
      </c>
      <c r="H7" s="4" t="s">
        <v>118</v>
      </c>
    </row>
  </sheetData>
  <mergeCells count="2">
    <mergeCell ref="I1:K1"/>
    <mergeCell ref="I2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characteristics</vt:lpstr>
      <vt:lpstr>Excluded participants</vt:lpstr>
      <vt:lpstr>Clinican Assessment </vt:lpstr>
      <vt:lpstr>Clinician consistency</vt:lpstr>
      <vt:lpstr>Clinican example images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2015-09-30T07:50:06Z</dcterms:created>
  <dcterms:modified xsi:type="dcterms:W3CDTF">2015-09-30T08:10:35Z</dcterms:modified>
</cp:coreProperties>
</file>